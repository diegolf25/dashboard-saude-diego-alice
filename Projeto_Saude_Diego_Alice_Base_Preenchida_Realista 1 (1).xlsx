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4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ICIO" sheetId="1" r:id="rId1"/>
    <sheet name="Listas" sheetId="2" r:id="rId2"/>
    <sheet name="Pessoas" sheetId="3" r:id="rId3"/>
    <sheet name="Atividades" sheetId="4" r:id="rId4"/>
    <sheet name="Plano_Semanal" sheetId="5" r:id="rId5"/>
    <sheet name="Metas" sheetId="6" r:id="rId6"/>
    <sheet name="Bioimpedancia" sheetId="7" r:id="rId7"/>
    <sheet name="Sintomas_Lombar" sheetId="8" r:id="rId8"/>
    <sheet name="Exames" sheetId="9" r:id="rId9"/>
    <sheet name="Habitos" sheetId="10" r:id="rId10"/>
    <sheet name="Habitos_Registro" sheetId="11" r:id="rId11"/>
    <sheet name="Dashboard_Dados" sheetId="12" r:id="rId12"/>
  </sheets>
</workbook>
</file>

<file path=xl/comments4.xml><?xml version="1.0" encoding="utf-8"?>
<comments xmlns="http://schemas.openxmlformats.org/spreadsheetml/2006/main">
  <authors>
    <author>Copilot</author>
  </authors>
  <commentList>
    <comment ref="A5" authorId="0">
      <text>
        <t>Preencha a data do treino. As colunas Semana_Inicio, Ano e Mes calculam automaticamente.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mm-dd-yy"/>
    <numFmt numFmtId="164" formatCode="0.0%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workbookViewId="0" rightToLeft="0"/>
  </sheetViews>
  <sheetData>
    <row r="1">
      <c r="A1" t="str">
        <v>PROJETO SAUDE DIEGO E ALICE - BASE DE DADOS</v>
      </c>
    </row>
    <row r="2">
      <c r="A2" t="str">
        <v>Preencha as abas de base. O arquivo HTML do dashboard le a aba Atividades automaticamente.</v>
      </c>
    </row>
    <row r="4">
      <c r="A4" t="str">
        <v>Aba</v>
      </c>
      <c r="B4" t="str">
        <v>Como usar</v>
      </c>
      <c r="C4" t="str">
        <v>Tipo</v>
      </c>
    </row>
    <row r="5">
      <c r="A5" t="str">
        <v>1. Pessoas</v>
      </c>
      <c r="B5" t="str">
        <v>Cadastre Diego, Alice ou outras pessoas que serao acompanhadas.</v>
      </c>
      <c r="C5" t="str">
        <v>Obrigatorio</v>
      </c>
    </row>
    <row r="6">
      <c r="A6" t="str">
        <v>2. Atividades</v>
      </c>
      <c r="B6" t="str">
        <v>Registre cada treino ou sessao. Essa e a principal aba lida pelo dashboard HTML.</v>
      </c>
      <c r="C6" t="str">
        <v>Obrigatorio</v>
      </c>
    </row>
    <row r="7">
      <c r="A7" t="str">
        <v>3. Plano_Semanal</v>
      </c>
      <c r="B7" t="str">
        <v>Planeje treinos futuros e marque status como Planejado, Realizado, Parcial, etc.</v>
      </c>
      <c r="C7" t="str">
        <v>Opcional</v>
      </c>
    </row>
    <row r="8">
      <c r="A8" t="str">
        <v>4. Metas</v>
      </c>
      <c r="B8" t="str">
        <v>Defina metas por pessoa, ano e categoria para acompanhar aderencia.</v>
      </c>
      <c r="C8" t="str">
        <v>Recomendado</v>
      </c>
    </row>
    <row r="9">
      <c r="A9" t="str">
        <v>5. Bioimpedancia</v>
      </c>
      <c r="B9" t="str">
        <v>Registre peso, gordura, massa magra, IMC e medidas corporais.</v>
      </c>
      <c r="C9" t="str">
        <v>Recomendado</v>
      </c>
    </row>
    <row r="10">
      <c r="A10" t="str">
        <v>6. Sintomas_Lombar</v>
      </c>
      <c r="B10" t="str">
        <v>Controle dor lombar, dormencia, gatilhos e observacoes.</v>
      </c>
      <c r="C10" t="str">
        <v>Recomendado</v>
      </c>
    </row>
    <row r="11">
      <c r="A11" t="str">
        <v>7. Exames</v>
      </c>
      <c r="B11" t="str">
        <v>Controle exames laboratoriais, status, referencia e observacoes.</v>
      </c>
      <c r="C11" t="str">
        <v>Opcional</v>
      </c>
    </row>
    <row r="12">
      <c r="A12" t="str">
        <v>8. Listas</v>
      </c>
      <c r="B12" t="str">
        <v>Listas usadas nos menus suspensos. Pode personalizar categorias e atividades.</v>
      </c>
      <c r="C12" t="str">
        <v>Controle</v>
      </c>
    </row>
    <row r="13">
      <c r="A13" t="str">
        <v>9. Habitos</v>
      </c>
      <c r="B13" t="str">
        <v>Cadastre os habitos diarios (agua, estudo, remedios, sono, alimentacao) por pessoa.</v>
      </c>
      <c r="C13" t="str">
        <v>Recomendado</v>
      </c>
    </row>
    <row r="14">
      <c r="A14" t="str">
        <v>10. Habitos_Registro</v>
      </c>
      <c r="B14" t="str">
        <v>Registro diario de execucao dos habitos. Atualizado automaticamente pelo dashboard HTML.</v>
      </c>
      <c r="C14" t="str">
        <v>Recomendado</v>
      </c>
    </row>
    <row r="17">
      <c r="A17" t="str">
        <v>Observacao importante</v>
      </c>
      <c r="B17" t="str">
        <v>Esta base e para acompanhamento pessoal e nao substitui orientacao medica, nutricional ou de educacao fisica.</v>
      </c>
    </row>
    <row r="19">
      <c r="A19" t="str">
        <v>Versao preenchida com dados demonstrativos realistas em 09/08/2026. Ajuste os valores com seus dados reais quando iniciar o acompanhamento.</v>
      </c>
      <c r="B19" t="str">
        <v>Na aba Atividades, mantenha os nomes das colunas: Data, Pessoa, Ano, Mes, Categoria, Duracao_min, Intensidade, Concluido, Calorias e Dor/Desconforto_0a10.</v>
      </c>
    </row>
  </sheetData>
  <mergeCells count="2">
    <mergeCell ref="A2:H2"/>
    <mergeCell ref="A1:H1"/>
  </mergeCells>
  <pageMargins left="0.75" right="0.75" top="1" bottom="1" header="0.5" footer="0.5"/>
  <ignoredErrors>
    <ignoredError numberStoredAsText="1" sqref="A1:H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workbookViewId="0" rightToLeft="0"/>
  </sheetViews>
  <sheetData>
    <row r="1">
      <c r="A1" t="str">
        <v>LISTAS E PARAMETROS</v>
      </c>
    </row>
    <row r="2">
      <c r="A2" t="str">
        <v>Alimente os menus suspensos das demais abas.</v>
      </c>
    </row>
    <row r="4">
      <c r="A4" t="str">
        <v>Pessoas</v>
      </c>
      <c r="B4" t="str">
        <v>Categorias</v>
      </c>
      <c r="C4" t="str">
        <v>Atividades</v>
      </c>
      <c r="D4" t="str">
        <v>DiasSemana</v>
      </c>
      <c r="E4" t="str">
        <v>Intensidade</v>
      </c>
      <c r="F4" t="str">
        <v>StatusPlano</v>
      </c>
      <c r="G4" t="str">
        <v>Horizonte</v>
      </c>
      <c r="H4" t="str">
        <v>StatusObjetivo</v>
      </c>
      <c r="I4" t="str">
        <v>StatusExame</v>
      </c>
      <c r="J4" t="str">
        <v>Meses</v>
      </c>
      <c r="K4" t="str">
        <v>Concluido</v>
      </c>
      <c r="L4" t="str">
        <v>StatusSintoma</v>
      </c>
      <c r="M4" t="str">
        <v>UnidadeExame</v>
      </c>
      <c r="N4" t="str">
        <v>Habitos</v>
      </c>
    </row>
    <row r="5">
      <c r="A5" t="str">
        <v>Diego</v>
      </c>
      <c r="B5" t="str">
        <v>Cardio</v>
      </c>
      <c r="C5" t="str">
        <v>Corrida leve</v>
      </c>
      <c r="D5" t="str">
        <v>Segunda</v>
      </c>
      <c r="E5" t="str">
        <v>Leve</v>
      </c>
      <c r="F5" t="str">
        <v>Planejado</v>
      </c>
      <c r="G5" t="str">
        <v>Curto prazo</v>
      </c>
      <c r="H5" t="str">
        <v>Nao iniciado</v>
      </c>
      <c r="I5" t="str">
        <v>Normal</v>
      </c>
      <c r="J5" t="str">
        <v>Jan</v>
      </c>
      <c r="K5" t="str">
        <v>Sim</v>
      </c>
      <c r="L5" t="str">
        <v>Sem dor</v>
      </c>
      <c r="M5" t="str">
        <v>mg/dL</v>
      </c>
      <c r="N5" t="str">
        <v>Meta de agua</v>
      </c>
    </row>
    <row r="6">
      <c r="A6" t="str">
        <v>Alice</v>
      </c>
      <c r="B6" t="str">
        <v>Musculacao</v>
      </c>
      <c r="C6" t="str">
        <v>Caminhada rapida</v>
      </c>
      <c r="D6" t="str">
        <v>Terca</v>
      </c>
      <c r="E6" t="str">
        <v>Moderada</v>
      </c>
      <c r="F6" t="str">
        <v>Realizado</v>
      </c>
      <c r="G6" t="str">
        <v>Medio prazo</v>
      </c>
      <c r="H6" t="str">
        <v>Em andamento</v>
      </c>
      <c r="I6" t="str">
        <v>Atencao</v>
      </c>
      <c r="J6" t="str">
        <v>Fev</v>
      </c>
      <c r="K6" t="str">
        <v>Nao</v>
      </c>
      <c r="L6" t="str">
        <v>Leve</v>
      </c>
      <c r="M6" t="str">
        <v>ng/mL</v>
      </c>
      <c r="N6" t="str">
        <v>Meta de estudo</v>
      </c>
    </row>
    <row r="7">
      <c r="B7" t="str">
        <v>Fortalecimento muscular</v>
      </c>
      <c r="C7" t="str">
        <v>Bike ergometrica</v>
      </c>
      <c r="D7" t="str">
        <v>Quarta</v>
      </c>
      <c r="E7" t="str">
        <v>Forte</v>
      </c>
      <c r="F7" t="str">
        <v>Parcial</v>
      </c>
      <c r="G7" t="str">
        <v>Longo prazo</v>
      </c>
      <c r="H7" t="str">
        <v>Concluido</v>
      </c>
      <c r="I7" t="str">
        <v>Alterado</v>
      </c>
      <c r="J7" t="str">
        <v>Mar</v>
      </c>
      <c r="L7" t="str">
        <v>Moderada</v>
      </c>
      <c r="M7" t="str">
        <v>uUI/mL</v>
      </c>
      <c r="N7" t="str">
        <v>Meta de remedios</v>
      </c>
    </row>
    <row r="8">
      <c r="B8" t="str">
        <v>Mobilidade</v>
      </c>
      <c r="C8" t="str">
        <v>Eliptico</v>
      </c>
      <c r="D8" t="str">
        <v>Quinta</v>
      </c>
      <c r="F8" t="str">
        <v>Cancelado</v>
      </c>
      <c r="H8" t="str">
        <v>Atrasado</v>
      </c>
      <c r="I8" t="str">
        <v>Acompanhar</v>
      </c>
      <c r="J8" t="str">
        <v>Abr</v>
      </c>
      <c r="L8" t="str">
        <v>Forte</v>
      </c>
      <c r="M8" t="str">
        <v>%</v>
      </c>
      <c r="N8" t="str">
        <v>Meta de sono</v>
      </c>
    </row>
    <row r="9">
      <c r="B9" t="str">
        <v>Descanso</v>
      </c>
      <c r="C9" t="str">
        <v>Treino de forca geral</v>
      </c>
      <c r="D9" t="str">
        <v>Sexta</v>
      </c>
      <c r="F9" t="str">
        <v>Reprogramado</v>
      </c>
      <c r="H9" t="str">
        <v>Pausado</v>
      </c>
      <c r="I9" t="str">
        <v>Pendente</v>
      </c>
      <c r="J9" t="str">
        <v>Mai</v>
      </c>
      <c r="L9" t="str">
        <v>Crise</v>
      </c>
      <c r="M9" t="str">
        <v>kg</v>
      </c>
      <c r="N9" t="str">
        <v>Meta alimentar</v>
      </c>
    </row>
    <row r="10">
      <c r="C10" t="str">
        <v>Treino membros superiores</v>
      </c>
      <c r="D10" t="str">
        <v>Sabado</v>
      </c>
      <c r="F10" t="str">
        <v>Pausado</v>
      </c>
      <c r="J10" t="str">
        <v>Jun</v>
      </c>
      <c r="M10" t="str">
        <v>cm</v>
      </c>
    </row>
    <row r="11">
      <c r="C11" t="str">
        <v>Treino membros inferiores</v>
      </c>
      <c r="D11" t="str">
        <v>Domingo</v>
      </c>
      <c r="J11" t="str">
        <v>Jul</v>
      </c>
      <c r="M11" t="str">
        <v>mmHg</v>
      </c>
    </row>
    <row r="12">
      <c r="C12" t="str">
        <v>Core e estabilidade</v>
      </c>
      <c r="J12" t="str">
        <v>Ago</v>
      </c>
      <c r="M12" t="str">
        <v>bpm</v>
      </c>
    </row>
    <row r="13">
      <c r="C13" t="str">
        <v>Mobilidade de quadril</v>
      </c>
      <c r="J13" t="str">
        <v>Set</v>
      </c>
      <c r="M13" t="str">
        <v>Outro</v>
      </c>
    </row>
    <row r="14">
      <c r="C14" t="str">
        <v>Mobilidade toracica</v>
      </c>
      <c r="J14" t="str">
        <v>Out</v>
      </c>
    </row>
    <row r="15">
      <c r="C15" t="str">
        <v>Alongamento guiado</v>
      </c>
      <c r="J15" t="str">
        <v>Nov</v>
      </c>
    </row>
    <row r="16">
      <c r="C16" t="str">
        <v>Yoga leve</v>
      </c>
      <c r="J16" t="str">
        <v>Dez</v>
      </c>
    </row>
  </sheetData>
  <mergeCells count="2">
    <mergeCell ref="A2:H2"/>
    <mergeCell ref="A1:H1"/>
  </mergeCells>
  <pageMargins left="0.75" right="0.75" top="1" bottom="1" header="0.5" footer="0.5"/>
  <ignoredErrors>
    <ignoredError numberStoredAsText="1" sqref="A1:N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04"/>
  <sheetViews>
    <sheetView workbookViewId="0" rightToLeft="0"/>
  </sheetViews>
  <sheetData>
    <row r="1">
      <c r="A1" t="str">
        <v>PESSOAS</v>
      </c>
    </row>
    <row r="2">
      <c r="A2" t="str">
        <v>Cadastro das pessoas acompanhadas no projeto.</v>
      </c>
    </row>
    <row r="4">
      <c r="A4" t="str">
        <v>Pessoa</v>
      </c>
      <c r="B4" t="str">
        <v>Data_Nascimento</v>
      </c>
      <c r="C4" t="str">
        <v>Altura_m</v>
      </c>
      <c r="D4" t="str">
        <v>Sexo</v>
      </c>
      <c r="E4" t="str">
        <v>Objetivo_Principal</v>
      </c>
      <c r="F4" t="str">
        <v>Data_Inicio_Projeto</v>
      </c>
      <c r="G4" t="str">
        <v>Observacoes</v>
      </c>
    </row>
    <row r="5">
      <c r="A5" t="str">
        <v>Diego</v>
      </c>
      <c r="B5" s="1">
        <v>31582</v>
      </c>
      <c r="C5">
        <v>1.7</v>
      </c>
      <c r="D5" t="str">
        <v>Masculino</v>
      </c>
      <c r="E5" t="str">
        <v>Constancia, forca, composicao corporal e cuidado lombar</v>
      </c>
      <c r="F5" s="1">
        <v>46243</v>
      </c>
      <c r="G5" t="str">
        <v>Dados preenchidos com valores demonstrativos realistas para acompanhamento pessoal.</v>
      </c>
    </row>
    <row r="6">
      <c r="A6" t="str">
        <v>Alice</v>
      </c>
      <c r="B6" s="1">
        <v>35052</v>
      </c>
      <c r="C6">
        <v>1.7</v>
      </c>
      <c r="D6" t="str">
        <v>Feminino</v>
      </c>
      <c r="E6" t="str">
        <v>Rotina ativa, composicao corporal saudavel e exames em dia</v>
      </c>
      <c r="F6" s="1">
        <v>46243</v>
      </c>
      <c r="G6" t="str">
        <v>Dados preenchidos com valores demonstrativos realistas para acompanhamento pessoal.</v>
      </c>
    </row>
  </sheetData>
  <mergeCells count="2">
    <mergeCell ref="A2:H2"/>
    <mergeCell ref="A1:H1"/>
  </mergeCells>
  <pageMargins left="0.75" right="0.75" top="1" bottom="1" header="0.5" footer="0.5"/>
  <ignoredErrors>
    <ignoredError numberStoredAsText="1" sqref="A1:H2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004"/>
  <sheetViews>
    <sheetView workbookViewId="0" rightToLeft="0"/>
  </sheetViews>
  <sheetData>
    <row r="1">
      <c r="A1" t="str">
        <v>ATIVIDADES</v>
      </c>
    </row>
    <row r="2">
      <c r="A2" t="str">
        <v>Base principal do Dashboard HTML. Preencha uma linha por treino realizado ou planejado.</v>
      </c>
    </row>
    <row r="4">
      <c r="A4" t="str">
        <v>Data</v>
      </c>
      <c r="B4" t="str">
        <v>Pessoa</v>
      </c>
      <c r="C4" t="str">
        <v>Semana_Inicio</v>
      </c>
      <c r="D4" t="str">
        <v>Ano</v>
      </c>
      <c r="E4" t="str">
        <v>Mes</v>
      </c>
      <c r="F4" t="str">
        <v>Categoria</v>
      </c>
      <c r="G4" t="str">
        <v>Atividade</v>
      </c>
      <c r="H4" t="str">
        <v>Duracao_min</v>
      </c>
      <c r="I4" t="str">
        <v>Intensidade</v>
      </c>
      <c r="J4" t="str">
        <v>Concluido</v>
      </c>
      <c r="K4" t="str">
        <v>Calorias</v>
      </c>
      <c r="L4" t="str">
        <v>Dor/Desconforto_0a10</v>
      </c>
      <c r="M4" t="str">
        <v>Observacoes</v>
      </c>
    </row>
    <row r="5">
      <c r="A5" s="1">
        <v>46174</v>
      </c>
      <c r="B5" t="str">
        <v>Diego</v>
      </c>
      <c r="C5" s="1">
        <f>IF(A5="","",A5-WEEKDAY(A5,2)+1)</f>
        <v>46174</v>
      </c>
      <c r="D5">
        <f>IF(A5="","",YEAR(A5))</f>
        <v>2026</v>
      </c>
      <c r="E5">
        <f>IF(A5="","",MONTH(A5))</f>
        <v>6</v>
      </c>
      <c r="F5" t="str">
        <v>Mobilidade</v>
      </c>
      <c r="G5" t="str">
        <v>Mobilidade de quadril</v>
      </c>
      <c r="H5">
        <v>18</v>
      </c>
      <c r="I5" t="str">
        <v>Leve</v>
      </c>
      <c r="J5" t="str">
        <v>Sim</v>
      </c>
      <c r="K5">
        <v>45</v>
      </c>
      <c r="L5">
        <v>1</v>
      </c>
      <c r="M5" t="str">
        <v>Sessao leve para soltar quadril e lombar.</v>
      </c>
    </row>
    <row r="6">
      <c r="A6" s="1">
        <v>46175</v>
      </c>
      <c r="B6" t="str">
        <v>Alice</v>
      </c>
      <c r="C6" s="1">
        <f>IF(A6="","",A6-WEEKDAY(A6,2)+1)</f>
        <v>46174</v>
      </c>
      <c r="D6">
        <f>IF(A6="","",YEAR(A6))</f>
        <v>2026</v>
      </c>
      <c r="E6">
        <f>IF(A6="","",MONTH(A6))</f>
        <v>6</v>
      </c>
      <c r="F6" t="str">
        <v>Cardio</v>
      </c>
      <c r="G6" t="str">
        <v>Caminhada rapida</v>
      </c>
      <c r="H6">
        <v>40</v>
      </c>
      <c r="I6" t="str">
        <v>Moderada</v>
      </c>
      <c r="J6" t="str">
        <v>Sim</v>
      </c>
      <c r="K6">
        <v>210</v>
      </c>
      <c r="L6">
        <v>0</v>
      </c>
      <c r="M6" t="str">
        <v>Caminhada continua em ritmo confortavel.</v>
      </c>
    </row>
    <row r="7">
      <c r="A7" s="1">
        <v>46176</v>
      </c>
      <c r="B7" t="str">
        <v>Diego</v>
      </c>
      <c r="C7" s="1">
        <f>IF(A7="","",A7-WEEKDAY(A7,2)+1)</f>
        <v>46174</v>
      </c>
      <c r="D7">
        <f>IF(A7="","",YEAR(A7))</f>
        <v>2026</v>
      </c>
      <c r="E7">
        <f>IF(A7="","",MONTH(A7))</f>
        <v>6</v>
      </c>
      <c r="F7" t="str">
        <v>Musculacao</v>
      </c>
      <c r="G7" t="str">
        <v>Treino membros superiores</v>
      </c>
      <c r="H7">
        <v>50</v>
      </c>
      <c r="I7" t="str">
        <v>Moderada</v>
      </c>
      <c r="J7" t="str">
        <v>Sim</v>
      </c>
      <c r="K7">
        <v>260</v>
      </c>
      <c r="L7">
        <v>1</v>
      </c>
      <c r="M7" t="str">
        <v>Foco em controle de carga e postura.</v>
      </c>
    </row>
    <row r="8">
      <c r="A8" s="1">
        <v>46177</v>
      </c>
      <c r="B8" t="str">
        <v>Alice</v>
      </c>
      <c r="C8" s="1">
        <f>IF(A8="","",A8-WEEKDAY(A8,2)+1)</f>
        <v>46174</v>
      </c>
      <c r="D8">
        <f>IF(A8="","",YEAR(A8))</f>
        <v>2026</v>
      </c>
      <c r="E8">
        <f>IF(A8="","",MONTH(A8))</f>
        <v>6</v>
      </c>
      <c r="F8" t="str">
        <v>Musculacao</v>
      </c>
      <c r="G8" t="str">
        <v>Treino de forca geral</v>
      </c>
      <c r="H8">
        <v>45</v>
      </c>
      <c r="I8" t="str">
        <v>Moderada</v>
      </c>
      <c r="J8" t="str">
        <v>Sim</v>
      </c>
      <c r="K8">
        <v>230</v>
      </c>
      <c r="L8">
        <v>0</v>
      </c>
      <c r="M8" t="str">
        <v>Treino geral com boa execucao.</v>
      </c>
    </row>
    <row r="9">
      <c r="A9" s="1">
        <v>46178</v>
      </c>
      <c r="B9" t="str">
        <v>Diego</v>
      </c>
      <c r="C9" s="1">
        <f>IF(A9="","",A9-WEEKDAY(A9,2)+1)</f>
        <v>46174</v>
      </c>
      <c r="D9">
        <f>IF(A9="","",YEAR(A9))</f>
        <v>2026</v>
      </c>
      <c r="E9">
        <f>IF(A9="","",MONTH(A9))</f>
        <v>6</v>
      </c>
      <c r="F9" t="str">
        <v>Cardio</v>
      </c>
      <c r="G9" t="str">
        <v>Bike ergometrica</v>
      </c>
      <c r="H9">
        <v>35</v>
      </c>
      <c r="I9" t="str">
        <v>Leve</v>
      </c>
      <c r="J9" t="str">
        <v>Sim</v>
      </c>
      <c r="K9">
        <v>210</v>
      </c>
      <c r="L9">
        <v>1</v>
      </c>
      <c r="M9" t="str">
        <v>Cardio sem impacto.</v>
      </c>
    </row>
    <row r="10">
      <c r="A10" s="1">
        <v>46180</v>
      </c>
      <c r="B10" t="str">
        <v>Alice</v>
      </c>
      <c r="C10" s="1">
        <f>IF(A10="","",A10-WEEKDAY(A10,2)+1)</f>
        <v>46174</v>
      </c>
      <c r="D10">
        <f>IF(A10="","",YEAR(A10))</f>
        <v>2026</v>
      </c>
      <c r="E10">
        <f>IF(A10="","",MONTH(A10))</f>
        <v>6</v>
      </c>
      <c r="F10" t="str">
        <v>Mobilidade</v>
      </c>
      <c r="G10" t="str">
        <v>Yoga leve</v>
      </c>
      <c r="H10">
        <v>30</v>
      </c>
      <c r="I10" t="str">
        <v>Leve</v>
      </c>
      <c r="J10" t="str">
        <v>Sim</v>
      </c>
      <c r="K10">
        <v>95</v>
      </c>
      <c r="L10">
        <v>0</v>
      </c>
      <c r="M10" t="str">
        <v>Sessao de mobilidade e respiracao.</v>
      </c>
    </row>
    <row r="11">
      <c r="A11" s="1">
        <v>46181</v>
      </c>
      <c r="B11" t="str">
        <v>Diego</v>
      </c>
      <c r="C11" s="1">
        <f>IF(A11="","",A11-WEEKDAY(A11,2)+1)</f>
        <v>46181</v>
      </c>
      <c r="D11">
        <f>IF(A11="","",YEAR(A11))</f>
        <v>2026</v>
      </c>
      <c r="E11">
        <f>IF(A11="","",MONTH(A11))</f>
        <v>6</v>
      </c>
      <c r="F11" t="str">
        <v>Musculacao</v>
      </c>
      <c r="G11" t="str">
        <v>Treino membros inferiores</v>
      </c>
      <c r="H11">
        <v>45</v>
      </c>
      <c r="I11" t="str">
        <v>Moderada</v>
      </c>
      <c r="J11" t="str">
        <v>Sim</v>
      </c>
      <c r="K11">
        <v>280</v>
      </c>
      <c r="L11">
        <v>2</v>
      </c>
      <c r="M11" t="str">
        <v>Evitar cargas axiais altas.</v>
      </c>
    </row>
    <row r="12">
      <c r="A12" s="1">
        <v>46182</v>
      </c>
      <c r="B12" t="str">
        <v>Alice</v>
      </c>
      <c r="C12" s="1">
        <f>IF(A12="","",A12-WEEKDAY(A12,2)+1)</f>
        <v>46181</v>
      </c>
      <c r="D12">
        <f>IF(A12="","",YEAR(A12))</f>
        <v>2026</v>
      </c>
      <c r="E12">
        <f>IF(A12="","",MONTH(A12))</f>
        <v>6</v>
      </c>
      <c r="F12" t="str">
        <v>Cardio</v>
      </c>
      <c r="G12" t="str">
        <v>Eliptico</v>
      </c>
      <c r="H12">
        <v>35</v>
      </c>
      <c r="I12" t="str">
        <v>Moderada</v>
      </c>
      <c r="J12" t="str">
        <v>Sim</v>
      </c>
      <c r="K12">
        <v>230</v>
      </c>
      <c r="L12">
        <v>0</v>
      </c>
      <c r="M12" t="str">
        <v>Cardio moderado.</v>
      </c>
    </row>
    <row r="13">
      <c r="A13" s="1">
        <v>46183</v>
      </c>
      <c r="B13" t="str">
        <v>Diego</v>
      </c>
      <c r="C13" s="1">
        <f>IF(A13="","",A13-WEEKDAY(A13,2)+1)</f>
        <v>46181</v>
      </c>
      <c r="D13">
        <f>IF(A13="","",YEAR(A13))</f>
        <v>2026</v>
      </c>
      <c r="E13">
        <f>IF(A13="","",MONTH(A13))</f>
        <v>6</v>
      </c>
      <c r="F13" t="str">
        <v>Fortalecimento muscular</v>
      </c>
      <c r="G13" t="str">
        <v>Core e estabilidade</v>
      </c>
      <c r="H13">
        <v>25</v>
      </c>
      <c r="I13" t="str">
        <v>Leve</v>
      </c>
      <c r="J13" t="str">
        <v>Sim</v>
      </c>
      <c r="K13">
        <v>110</v>
      </c>
      <c r="L13">
        <v>1</v>
      </c>
      <c r="M13" t="str">
        <v>Core anti-rotacao e estabilidade.</v>
      </c>
    </row>
    <row r="14">
      <c r="A14" s="1">
        <v>46184</v>
      </c>
      <c r="B14" t="str">
        <v>Alice</v>
      </c>
      <c r="C14" s="1">
        <f>IF(A14="","",A14-WEEKDAY(A14,2)+1)</f>
        <v>46181</v>
      </c>
      <c r="D14">
        <f>IF(A14="","",YEAR(A14))</f>
        <v>2026</v>
      </c>
      <c r="E14">
        <f>IF(A14="","",MONTH(A14))</f>
        <v>6</v>
      </c>
      <c r="F14" t="str">
        <v>Musculacao</v>
      </c>
      <c r="G14" t="str">
        <v>Treino membros superiores</v>
      </c>
      <c r="H14">
        <v>45</v>
      </c>
      <c r="I14" t="str">
        <v>Moderada</v>
      </c>
      <c r="J14" t="str">
        <v>Sim</v>
      </c>
      <c r="K14">
        <v>210</v>
      </c>
      <c r="L14">
        <v>0</v>
      </c>
      <c r="M14" t="str">
        <v>Treino de superiores.</v>
      </c>
    </row>
    <row r="15">
      <c r="A15" s="1">
        <v>46186</v>
      </c>
      <c r="B15" t="str">
        <v>Diego</v>
      </c>
      <c r="C15" s="1">
        <f>IF(A15="","",A15-WEEKDAY(A15,2)+1)</f>
        <v>46181</v>
      </c>
      <c r="D15">
        <f>IF(A15="","",YEAR(A15))</f>
        <v>2026</v>
      </c>
      <c r="E15">
        <f>IF(A15="","",MONTH(A15))</f>
        <v>6</v>
      </c>
      <c r="F15" t="str">
        <v>Cardio</v>
      </c>
      <c r="G15" t="str">
        <v>Caminhada rapida</v>
      </c>
      <c r="H15">
        <v>45</v>
      </c>
      <c r="I15" t="str">
        <v>Moderada</v>
      </c>
      <c r="J15" t="str">
        <v>Sim</v>
      </c>
      <c r="K15">
        <v>250</v>
      </c>
      <c r="L15">
        <v>1</v>
      </c>
      <c r="M15" t="str">
        <v>Caminhada sem dor relevante.</v>
      </c>
    </row>
    <row r="16">
      <c r="A16" s="1">
        <v>46187</v>
      </c>
      <c r="B16" t="str">
        <v>Alice</v>
      </c>
      <c r="C16" s="1">
        <f>IF(A16="","",A16-WEEKDAY(A16,2)+1)</f>
        <v>46181</v>
      </c>
      <c r="D16">
        <f>IF(A16="","",YEAR(A16))</f>
        <v>2026</v>
      </c>
      <c r="E16">
        <f>IF(A16="","",MONTH(A16))</f>
        <v>6</v>
      </c>
      <c r="F16" t="str">
        <v>Descanso</v>
      </c>
      <c r="G16" t="str">
        <v>Descanso</v>
      </c>
      <c r="H16">
        <v>0</v>
      </c>
      <c r="I16" t="str">
        <v>Leve</v>
      </c>
      <c r="J16" t="str">
        <v>Sim</v>
      </c>
      <c r="K16">
        <v>0</v>
      </c>
      <c r="L16">
        <v>0</v>
      </c>
      <c r="M16" t="str">
        <v>Descanso registrado.</v>
      </c>
    </row>
    <row r="17">
      <c r="A17" s="1">
        <v>46188</v>
      </c>
      <c r="B17" t="str">
        <v>Diego</v>
      </c>
      <c r="C17" s="1">
        <f>IF(A17="","",A17-WEEKDAY(A17,2)+1)</f>
        <v>46188</v>
      </c>
      <c r="D17">
        <f>IF(A17="","",YEAR(A17))</f>
        <v>2026</v>
      </c>
      <c r="E17">
        <f>IF(A17="","",MONTH(A17))</f>
        <v>6</v>
      </c>
      <c r="F17" t="str">
        <v>Musculacao</v>
      </c>
      <c r="G17" t="str">
        <v>Treino de forca geral</v>
      </c>
      <c r="H17">
        <v>55</v>
      </c>
      <c r="I17" t="str">
        <v>Moderada</v>
      </c>
      <c r="J17" t="str">
        <v>Sim</v>
      </c>
      <c r="K17">
        <v>320</v>
      </c>
      <c r="L17">
        <v>2</v>
      </c>
      <c r="M17" t="str">
        <v>Treino controlado, sem corrida.</v>
      </c>
    </row>
    <row r="18">
      <c r="A18" s="1">
        <v>46189</v>
      </c>
      <c r="B18" t="str">
        <v>Alice</v>
      </c>
      <c r="C18" s="1">
        <f>IF(A18="","",A18-WEEKDAY(A18,2)+1)</f>
        <v>46188</v>
      </c>
      <c r="D18">
        <f>IF(A18="","",YEAR(A18))</f>
        <v>2026</v>
      </c>
      <c r="E18">
        <f>IF(A18="","",MONTH(A18))</f>
        <v>6</v>
      </c>
      <c r="F18" t="str">
        <v>Cardio</v>
      </c>
      <c r="G18" t="str">
        <v>Caminhada rapida</v>
      </c>
      <c r="H18">
        <v>42</v>
      </c>
      <c r="I18" t="str">
        <v>Moderada</v>
      </c>
      <c r="J18" t="str">
        <v>Sim</v>
      </c>
      <c r="K18">
        <v>220</v>
      </c>
      <c r="L18">
        <v>0</v>
      </c>
      <c r="M18" t="str">
        <v>Ritmo constante.</v>
      </c>
    </row>
    <row r="19">
      <c r="A19" s="1">
        <v>46190</v>
      </c>
      <c r="B19" t="str">
        <v>Diego</v>
      </c>
      <c r="C19" s="1">
        <f>IF(A19="","",A19-WEEKDAY(A19,2)+1)</f>
        <v>46188</v>
      </c>
      <c r="D19">
        <f>IF(A19="","",YEAR(A19))</f>
        <v>2026</v>
      </c>
      <c r="E19">
        <f>IF(A19="","",MONTH(A19))</f>
        <v>6</v>
      </c>
      <c r="F19" t="str">
        <v>Mobilidade</v>
      </c>
      <c r="G19" t="str">
        <v>Mobilidade toracica</v>
      </c>
      <c r="H19">
        <v>20</v>
      </c>
      <c r="I19" t="str">
        <v>Leve</v>
      </c>
      <c r="J19" t="str">
        <v>Sim</v>
      </c>
      <c r="K19">
        <v>50</v>
      </c>
      <c r="L19">
        <v>1</v>
      </c>
      <c r="M19" t="str">
        <v>Mobilidade toracica e respiracao.</v>
      </c>
    </row>
    <row r="20">
      <c r="A20" s="1">
        <v>46191</v>
      </c>
      <c r="B20" t="str">
        <v>Alice</v>
      </c>
      <c r="C20" s="1">
        <f>IF(A20="","",A20-WEEKDAY(A20,2)+1)</f>
        <v>46188</v>
      </c>
      <c r="D20">
        <f>IF(A20="","",YEAR(A20))</f>
        <v>2026</v>
      </c>
      <c r="E20">
        <f>IF(A20="","",MONTH(A20))</f>
        <v>6</v>
      </c>
      <c r="F20" t="str">
        <v>Musculacao</v>
      </c>
      <c r="G20" t="str">
        <v>Treino membros inferiores</v>
      </c>
      <c r="H20">
        <v>45</v>
      </c>
      <c r="I20" t="str">
        <v>Moderada</v>
      </c>
      <c r="J20" t="str">
        <v>Sim</v>
      </c>
      <c r="K20">
        <v>240</v>
      </c>
      <c r="L20">
        <v>0</v>
      </c>
      <c r="M20" t="str">
        <v>Inferiores com boa tolerancia.</v>
      </c>
    </row>
    <row r="21">
      <c r="A21" s="1">
        <v>46193</v>
      </c>
      <c r="B21" t="str">
        <v>Diego</v>
      </c>
      <c r="C21" s="1">
        <f>IF(A21="","",A21-WEEKDAY(A21,2)+1)</f>
        <v>46188</v>
      </c>
      <c r="D21">
        <f>IF(A21="","",YEAR(A21))</f>
        <v>2026</v>
      </c>
      <c r="E21">
        <f>IF(A21="","",MONTH(A21))</f>
        <v>6</v>
      </c>
      <c r="F21" t="str">
        <v>Cardio</v>
      </c>
      <c r="G21" t="str">
        <v>Bike ergometrica</v>
      </c>
      <c r="H21">
        <v>40</v>
      </c>
      <c r="I21" t="str">
        <v>Leve</v>
      </c>
      <c r="J21" t="str">
        <v>Sim</v>
      </c>
      <c r="K21">
        <v>235</v>
      </c>
      <c r="L21">
        <v>1</v>
      </c>
      <c r="M21" t="str">
        <v>Cardio Z2 sem impacto.</v>
      </c>
    </row>
    <row r="22">
      <c r="A22" s="1">
        <v>46194</v>
      </c>
      <c r="B22" t="str">
        <v>Alice</v>
      </c>
      <c r="C22" s="1">
        <f>IF(A22="","",A22-WEEKDAY(A22,2)+1)</f>
        <v>46188</v>
      </c>
      <c r="D22">
        <f>IF(A22="","",YEAR(A22))</f>
        <v>2026</v>
      </c>
      <c r="E22">
        <f>IF(A22="","",MONTH(A22))</f>
        <v>6</v>
      </c>
      <c r="F22" t="str">
        <v>Mobilidade</v>
      </c>
      <c r="G22" t="str">
        <v>Alongamento guiado</v>
      </c>
      <c r="H22">
        <v>25</v>
      </c>
      <c r="I22" t="str">
        <v>Leve</v>
      </c>
      <c r="J22" t="str">
        <v>Sim</v>
      </c>
      <c r="K22">
        <v>70</v>
      </c>
      <c r="L22">
        <v>0</v>
      </c>
      <c r="M22" t="str">
        <v>Alongamento leve.</v>
      </c>
    </row>
    <row r="23">
      <c r="A23" s="1">
        <v>46195</v>
      </c>
      <c r="B23" t="str">
        <v>Diego</v>
      </c>
      <c r="C23" s="1">
        <f>IF(A23="","",A23-WEEKDAY(A23,2)+1)</f>
        <v>46195</v>
      </c>
      <c r="D23">
        <f>IF(A23="","",YEAR(A23))</f>
        <v>2026</v>
      </c>
      <c r="E23">
        <f>IF(A23="","",MONTH(A23))</f>
        <v>6</v>
      </c>
      <c r="F23" t="str">
        <v>Musculacao</v>
      </c>
      <c r="G23" t="str">
        <v>Treino membros superiores</v>
      </c>
      <c r="H23">
        <v>50</v>
      </c>
      <c r="I23" t="str">
        <v>Moderada</v>
      </c>
      <c r="J23" t="str">
        <v>Sim</v>
      </c>
      <c r="K23">
        <v>270</v>
      </c>
      <c r="L23">
        <v>1</v>
      </c>
      <c r="M23" t="str">
        <v>Progressao leve nas cargas.</v>
      </c>
    </row>
    <row r="24">
      <c r="A24" s="1">
        <v>46196</v>
      </c>
      <c r="B24" t="str">
        <v>Alice</v>
      </c>
      <c r="C24" s="1">
        <f>IF(A24="","",A24-WEEKDAY(A24,2)+1)</f>
        <v>46195</v>
      </c>
      <c r="D24">
        <f>IF(A24="","",YEAR(A24))</f>
        <v>2026</v>
      </c>
      <c r="E24">
        <f>IF(A24="","",MONTH(A24))</f>
        <v>6</v>
      </c>
      <c r="F24" t="str">
        <v>Cardio</v>
      </c>
      <c r="G24" t="str">
        <v>Eliptico</v>
      </c>
      <c r="H24">
        <v>38</v>
      </c>
      <c r="I24" t="str">
        <v>Moderada</v>
      </c>
      <c r="J24" t="str">
        <v>Sim</v>
      </c>
      <c r="K24">
        <v>240</v>
      </c>
      <c r="L24">
        <v>0</v>
      </c>
      <c r="M24" t="str">
        <v>Cardio moderado.</v>
      </c>
    </row>
    <row r="25">
      <c r="A25" s="1">
        <v>46197</v>
      </c>
      <c r="B25" t="str">
        <v>Diego</v>
      </c>
      <c r="C25" s="1">
        <f>IF(A25="","",A25-WEEKDAY(A25,2)+1)</f>
        <v>46195</v>
      </c>
      <c r="D25">
        <f>IF(A25="","",YEAR(A25))</f>
        <v>2026</v>
      </c>
      <c r="E25">
        <f>IF(A25="","",MONTH(A25))</f>
        <v>6</v>
      </c>
      <c r="F25" t="str">
        <v>Fortalecimento muscular</v>
      </c>
      <c r="G25" t="str">
        <v>Core e estabilidade</v>
      </c>
      <c r="H25">
        <v>30</v>
      </c>
      <c r="I25" t="str">
        <v>Leve</v>
      </c>
      <c r="J25" t="str">
        <v>Sim</v>
      </c>
      <c r="K25">
        <v>125</v>
      </c>
      <c r="L25">
        <v>1</v>
      </c>
      <c r="M25" t="str">
        <v>Core sem dor.</v>
      </c>
    </row>
    <row r="26">
      <c r="A26" s="1">
        <v>46198</v>
      </c>
      <c r="B26" t="str">
        <v>Alice</v>
      </c>
      <c r="C26" s="1">
        <f>IF(A26="","",A26-WEEKDAY(A26,2)+1)</f>
        <v>46195</v>
      </c>
      <c r="D26">
        <f>IF(A26="","",YEAR(A26))</f>
        <v>2026</v>
      </c>
      <c r="E26">
        <f>IF(A26="","",MONTH(A26))</f>
        <v>6</v>
      </c>
      <c r="F26" t="str">
        <v>Musculacao</v>
      </c>
      <c r="G26" t="str">
        <v>Treino de forca geral</v>
      </c>
      <c r="H26">
        <v>50</v>
      </c>
      <c r="I26" t="str">
        <v>Moderada</v>
      </c>
      <c r="J26" t="str">
        <v>Sim</v>
      </c>
      <c r="K26">
        <v>250</v>
      </c>
      <c r="L26">
        <v>0</v>
      </c>
      <c r="M26" t="str">
        <v>Treino geral.</v>
      </c>
    </row>
    <row r="27">
      <c r="A27" s="1">
        <v>46200</v>
      </c>
      <c r="B27" t="str">
        <v>Diego</v>
      </c>
      <c r="C27" s="1">
        <f>IF(A27="","",A27-WEEKDAY(A27,2)+1)</f>
        <v>46195</v>
      </c>
      <c r="D27">
        <f>IF(A27="","",YEAR(A27))</f>
        <v>2026</v>
      </c>
      <c r="E27">
        <f>IF(A27="","",MONTH(A27))</f>
        <v>6</v>
      </c>
      <c r="F27" t="str">
        <v>Cardio</v>
      </c>
      <c r="G27" t="str">
        <v>Corrida leve</v>
      </c>
      <c r="H27">
        <v>28</v>
      </c>
      <c r="I27" t="str">
        <v>Leve</v>
      </c>
      <c r="J27" t="str">
        <v>Sim</v>
      </c>
      <c r="K27">
        <v>245</v>
      </c>
      <c r="L27">
        <v>2</v>
      </c>
      <c r="M27" t="str">
        <v>Trote leve alternando caminhada.</v>
      </c>
    </row>
    <row r="28">
      <c r="A28" s="1">
        <v>46201</v>
      </c>
      <c r="B28" t="str">
        <v>Alice</v>
      </c>
      <c r="C28" s="1">
        <f>IF(A28="","",A28-WEEKDAY(A28,2)+1)</f>
        <v>46195</v>
      </c>
      <c r="D28">
        <f>IF(A28="","",YEAR(A28))</f>
        <v>2026</v>
      </c>
      <c r="E28">
        <f>IF(A28="","",MONTH(A28))</f>
        <v>6</v>
      </c>
      <c r="F28" t="str">
        <v>Descanso</v>
      </c>
      <c r="G28" t="str">
        <v>Descanso</v>
      </c>
      <c r="H28">
        <v>0</v>
      </c>
      <c r="I28" t="str">
        <v>Leve</v>
      </c>
      <c r="J28" t="str">
        <v>Sim</v>
      </c>
      <c r="K28">
        <v>0</v>
      </c>
      <c r="L28">
        <v>0</v>
      </c>
      <c r="M28" t="str">
        <v>Descanso.</v>
      </c>
    </row>
    <row r="29">
      <c r="A29" s="1">
        <v>46202</v>
      </c>
      <c r="B29" t="str">
        <v>Diego</v>
      </c>
      <c r="C29" s="1">
        <f>IF(A29="","",A29-WEEKDAY(A29,2)+1)</f>
        <v>46202</v>
      </c>
      <c r="D29">
        <f>IF(A29="","",YEAR(A29))</f>
        <v>2026</v>
      </c>
      <c r="E29">
        <f>IF(A29="","",MONTH(A29))</f>
        <v>6</v>
      </c>
      <c r="F29" t="str">
        <v>Mobilidade</v>
      </c>
      <c r="G29" t="str">
        <v>Mobilidade de quadril</v>
      </c>
      <c r="H29">
        <v>22</v>
      </c>
      <c r="I29" t="str">
        <v>Leve</v>
      </c>
      <c r="J29" t="str">
        <v>Sim</v>
      </c>
      <c r="K29">
        <v>55</v>
      </c>
      <c r="L29">
        <v>1</v>
      </c>
      <c r="M29" t="str">
        <v>Mobilidade preventiva.</v>
      </c>
    </row>
    <row r="30">
      <c r="A30" s="1">
        <v>46203</v>
      </c>
      <c r="B30" t="str">
        <v>Alice</v>
      </c>
      <c r="C30" s="1">
        <f>IF(A30="","",A30-WEEKDAY(A30,2)+1)</f>
        <v>46202</v>
      </c>
      <c r="D30">
        <f>IF(A30="","",YEAR(A30))</f>
        <v>2026</v>
      </c>
      <c r="E30">
        <f>IF(A30="","",MONTH(A30))</f>
        <v>6</v>
      </c>
      <c r="F30" t="str">
        <v>Cardio</v>
      </c>
      <c r="G30" t="str">
        <v>Caminhada rapida</v>
      </c>
      <c r="H30">
        <v>45</v>
      </c>
      <c r="I30" t="str">
        <v>Moderada</v>
      </c>
      <c r="J30" t="str">
        <v>Sim</v>
      </c>
      <c r="K30">
        <v>235</v>
      </c>
      <c r="L30">
        <v>0</v>
      </c>
      <c r="M30" t="str">
        <v>Caminhada em ritmo moderado.</v>
      </c>
    </row>
    <row r="31">
      <c r="A31" s="1">
        <v>46204</v>
      </c>
      <c r="B31" t="str">
        <v>Diego</v>
      </c>
      <c r="C31" s="1">
        <f>IF(A31="","",A31-WEEKDAY(A31,2)+1)</f>
        <v>46202</v>
      </c>
      <c r="D31">
        <f>IF(A31="","",YEAR(A31))</f>
        <v>2026</v>
      </c>
      <c r="E31">
        <f>IF(A31="","",MONTH(A31))</f>
        <v>7</v>
      </c>
      <c r="F31" t="str">
        <v>Musculacao</v>
      </c>
      <c r="G31" t="str">
        <v>Treino de forca geral</v>
      </c>
      <c r="H31">
        <v>55</v>
      </c>
      <c r="I31" t="str">
        <v>Moderada</v>
      </c>
      <c r="J31" t="str">
        <v>Sim</v>
      </c>
      <c r="K31">
        <v>330</v>
      </c>
      <c r="L31">
        <v>1</v>
      </c>
      <c r="M31" t="str">
        <v>Forca com execucao controlada.</v>
      </c>
    </row>
    <row r="32">
      <c r="A32" s="1">
        <v>46205</v>
      </c>
      <c r="B32" t="str">
        <v>Alice</v>
      </c>
      <c r="C32" s="1">
        <f>IF(A32="","",A32-WEEKDAY(A32,2)+1)</f>
        <v>46202</v>
      </c>
      <c r="D32">
        <f>IF(A32="","",YEAR(A32))</f>
        <v>2026</v>
      </c>
      <c r="E32">
        <f>IF(A32="","",MONTH(A32))</f>
        <v>7</v>
      </c>
      <c r="F32" t="str">
        <v>Musculacao</v>
      </c>
      <c r="G32" t="str">
        <v>Treino membros superiores</v>
      </c>
      <c r="H32">
        <v>45</v>
      </c>
      <c r="I32" t="str">
        <v>Moderada</v>
      </c>
      <c r="J32" t="str">
        <v>Sim</v>
      </c>
      <c r="K32">
        <v>215</v>
      </c>
      <c r="L32">
        <v>0</v>
      </c>
      <c r="M32" t="str">
        <v>Superiores.</v>
      </c>
    </row>
    <row r="33">
      <c r="A33" s="1">
        <v>46206</v>
      </c>
      <c r="B33" t="str">
        <v>Diego</v>
      </c>
      <c r="C33" s="1">
        <f>IF(A33="","",A33-WEEKDAY(A33,2)+1)</f>
        <v>46202</v>
      </c>
      <c r="D33">
        <f>IF(A33="","",YEAR(A33))</f>
        <v>2026</v>
      </c>
      <c r="E33">
        <f>IF(A33="","",MONTH(A33))</f>
        <v>7</v>
      </c>
      <c r="F33" t="str">
        <v>Cardio</v>
      </c>
      <c r="G33" t="str">
        <v>Bike ergometrica</v>
      </c>
      <c r="H33">
        <v>38</v>
      </c>
      <c r="I33" t="str">
        <v>Leve</v>
      </c>
      <c r="J33" t="str">
        <v>Sim</v>
      </c>
      <c r="K33">
        <v>225</v>
      </c>
      <c r="L33">
        <v>1</v>
      </c>
      <c r="M33" t="str">
        <v>Z2 sem impacto.</v>
      </c>
    </row>
    <row r="34">
      <c r="A34" s="1">
        <v>46207</v>
      </c>
      <c r="B34" t="str">
        <v>Alice</v>
      </c>
      <c r="C34" s="1">
        <f>IF(A34="","",A34-WEEKDAY(A34,2)+1)</f>
        <v>46202</v>
      </c>
      <c r="D34">
        <f>IF(A34="","",YEAR(A34))</f>
        <v>2026</v>
      </c>
      <c r="E34">
        <f>IF(A34="","",MONTH(A34))</f>
        <v>7</v>
      </c>
      <c r="F34" t="str">
        <v>Mobilidade</v>
      </c>
      <c r="G34" t="str">
        <v>Yoga leve</v>
      </c>
      <c r="H34">
        <v>30</v>
      </c>
      <c r="I34" t="str">
        <v>Leve</v>
      </c>
      <c r="J34" t="str">
        <v>Sim</v>
      </c>
      <c r="K34">
        <v>95</v>
      </c>
      <c r="L34">
        <v>0</v>
      </c>
      <c r="M34" t="str">
        <v>Yoga leve.</v>
      </c>
    </row>
    <row r="35">
      <c r="A35" s="1">
        <v>46209</v>
      </c>
      <c r="B35" t="str">
        <v>Diego</v>
      </c>
      <c r="C35" s="1">
        <f>IF(A35="","",A35-WEEKDAY(A35,2)+1)</f>
        <v>46209</v>
      </c>
      <c r="D35">
        <f>IF(A35="","",YEAR(A35))</f>
        <v>2026</v>
      </c>
      <c r="E35">
        <f>IF(A35="","",MONTH(A35))</f>
        <v>7</v>
      </c>
      <c r="F35" t="str">
        <v>Cardio</v>
      </c>
      <c r="G35" t="str">
        <v>Corrida leve</v>
      </c>
      <c r="H35">
        <v>35</v>
      </c>
      <c r="I35" t="str">
        <v>Leve</v>
      </c>
      <c r="J35" t="str">
        <v>Sim</v>
      </c>
      <c r="K35">
        <v>315</v>
      </c>
      <c r="L35">
        <v>2</v>
      </c>
      <c r="M35" t="str">
        <v>Corrida e caminhada em Z2.</v>
      </c>
    </row>
    <row r="36">
      <c r="A36" s="1">
        <v>46210</v>
      </c>
      <c r="B36" t="str">
        <v>Alice</v>
      </c>
      <c r="C36" s="1">
        <f>IF(A36="","",A36-WEEKDAY(A36,2)+1)</f>
        <v>46209</v>
      </c>
      <c r="D36">
        <f>IF(A36="","",YEAR(A36))</f>
        <v>2026</v>
      </c>
      <c r="E36">
        <f>IF(A36="","",MONTH(A36))</f>
        <v>7</v>
      </c>
      <c r="F36" t="str">
        <v>Cardio</v>
      </c>
      <c r="G36" t="str">
        <v>Caminhada rapida</v>
      </c>
      <c r="H36">
        <v>45</v>
      </c>
      <c r="I36" t="str">
        <v>Moderada</v>
      </c>
      <c r="J36" t="str">
        <v>Sim</v>
      </c>
      <c r="K36">
        <v>235</v>
      </c>
      <c r="L36">
        <v>0</v>
      </c>
      <c r="M36" t="str">
        <v>Caminhada.</v>
      </c>
    </row>
    <row r="37">
      <c r="A37" s="1">
        <v>46211</v>
      </c>
      <c r="B37" t="str">
        <v>Diego</v>
      </c>
      <c r="C37" s="1">
        <f>IF(A37="","",A37-WEEKDAY(A37,2)+1)</f>
        <v>46209</v>
      </c>
      <c r="D37">
        <f>IF(A37="","",YEAR(A37))</f>
        <v>2026</v>
      </c>
      <c r="E37">
        <f>IF(A37="","",MONTH(A37))</f>
        <v>7</v>
      </c>
      <c r="F37" t="str">
        <v>Musculacao</v>
      </c>
      <c r="G37" t="str">
        <v>Treino membros superiores</v>
      </c>
      <c r="H37">
        <v>50</v>
      </c>
      <c r="I37" t="str">
        <v>Moderada</v>
      </c>
      <c r="J37" t="str">
        <v>Sim</v>
      </c>
      <c r="K37">
        <v>270</v>
      </c>
      <c r="L37">
        <v>1</v>
      </c>
      <c r="M37" t="str">
        <v>Forca superiores.</v>
      </c>
    </row>
    <row r="38">
      <c r="A38" s="1">
        <v>46212</v>
      </c>
      <c r="B38" t="str">
        <v>Alice</v>
      </c>
      <c r="C38" s="1">
        <f>IF(A38="","",A38-WEEKDAY(A38,2)+1)</f>
        <v>46209</v>
      </c>
      <c r="D38">
        <f>IF(A38="","",YEAR(A38))</f>
        <v>2026</v>
      </c>
      <c r="E38">
        <f>IF(A38="","",MONTH(A38))</f>
        <v>7</v>
      </c>
      <c r="F38" t="str">
        <v>Musculacao</v>
      </c>
      <c r="G38" t="str">
        <v>Treino membros inferiores</v>
      </c>
      <c r="H38">
        <v>48</v>
      </c>
      <c r="I38" t="str">
        <v>Moderada</v>
      </c>
      <c r="J38" t="str">
        <v>Sim</v>
      </c>
      <c r="K38">
        <v>260</v>
      </c>
      <c r="L38">
        <v>0</v>
      </c>
      <c r="M38" t="str">
        <v>Inferiores.</v>
      </c>
    </row>
    <row r="39">
      <c r="A39" s="1">
        <v>46213</v>
      </c>
      <c r="B39" t="str">
        <v>Diego</v>
      </c>
      <c r="C39" s="1">
        <f>IF(A39="","",A39-WEEKDAY(A39,2)+1)</f>
        <v>46209</v>
      </c>
      <c r="D39">
        <f>IF(A39="","",YEAR(A39))</f>
        <v>2026</v>
      </c>
      <c r="E39">
        <f>IF(A39="","",MONTH(A39))</f>
        <v>7</v>
      </c>
      <c r="F39" t="str">
        <v>Fortalecimento muscular</v>
      </c>
      <c r="G39" t="str">
        <v>Core e estabilidade</v>
      </c>
      <c r="H39">
        <v>28</v>
      </c>
      <c r="I39" t="str">
        <v>Leve</v>
      </c>
      <c r="J39" t="str">
        <v>Sim</v>
      </c>
      <c r="K39">
        <v>120</v>
      </c>
      <c r="L39">
        <v>1</v>
      </c>
      <c r="M39" t="str">
        <v>Core preventivo.</v>
      </c>
    </row>
    <row r="40">
      <c r="A40" s="1">
        <v>46214</v>
      </c>
      <c r="B40" t="str">
        <v>Alice</v>
      </c>
      <c r="C40" s="1">
        <f>IF(A40="","",A40-WEEKDAY(A40,2)+1)</f>
        <v>46209</v>
      </c>
      <c r="D40">
        <f>IF(A40="","",YEAR(A40))</f>
        <v>2026</v>
      </c>
      <c r="E40">
        <f>IF(A40="","",MONTH(A40))</f>
        <v>7</v>
      </c>
      <c r="F40" t="str">
        <v>Cardio</v>
      </c>
      <c r="G40" t="str">
        <v>Eliptico</v>
      </c>
      <c r="H40">
        <v>35</v>
      </c>
      <c r="I40" t="str">
        <v>Moderada</v>
      </c>
      <c r="J40" t="str">
        <v>Sim</v>
      </c>
      <c r="K40">
        <v>225</v>
      </c>
      <c r="L40">
        <v>0</v>
      </c>
      <c r="M40" t="str">
        <v>Eliptico.</v>
      </c>
    </row>
    <row r="41">
      <c r="A41" s="1">
        <v>46216</v>
      </c>
      <c r="B41" t="str">
        <v>Diego</v>
      </c>
      <c r="C41" s="1">
        <f>IF(A41="","",A41-WEEKDAY(A41,2)+1)</f>
        <v>46216</v>
      </c>
      <c r="D41">
        <f>IF(A41="","",YEAR(A41))</f>
        <v>2026</v>
      </c>
      <c r="E41">
        <f>IF(A41="","",MONTH(A41))</f>
        <v>7</v>
      </c>
      <c r="F41" t="str">
        <v>Cardio</v>
      </c>
      <c r="G41" t="str">
        <v>Corrida leve</v>
      </c>
      <c r="H41">
        <v>40</v>
      </c>
      <c r="I41" t="str">
        <v>Moderada</v>
      </c>
      <c r="J41" t="str">
        <v>Sim</v>
      </c>
      <c r="K41">
        <v>380</v>
      </c>
      <c r="L41">
        <v>2</v>
      </c>
      <c r="M41" t="str">
        <v>Leve aumento de duracao.</v>
      </c>
    </row>
    <row r="42">
      <c r="A42" s="1">
        <v>46217</v>
      </c>
      <c r="B42" t="str">
        <v>Alice</v>
      </c>
      <c r="C42" s="1">
        <f>IF(A42="","",A42-WEEKDAY(A42,2)+1)</f>
        <v>46216</v>
      </c>
      <c r="D42">
        <f>IF(A42="","",YEAR(A42))</f>
        <v>2026</v>
      </c>
      <c r="E42">
        <f>IF(A42="","",MONTH(A42))</f>
        <v>7</v>
      </c>
      <c r="F42" t="str">
        <v>Mobilidade</v>
      </c>
      <c r="G42" t="str">
        <v>Alongamento guiado</v>
      </c>
      <c r="H42">
        <v>25</v>
      </c>
      <c r="I42" t="str">
        <v>Leve</v>
      </c>
      <c r="J42" t="str">
        <v>Sim</v>
      </c>
      <c r="K42">
        <v>70</v>
      </c>
      <c r="L42">
        <v>0</v>
      </c>
      <c r="M42" t="str">
        <v>Alongamento.</v>
      </c>
    </row>
    <row r="43">
      <c r="A43" s="1">
        <v>46218</v>
      </c>
      <c r="B43" t="str">
        <v>Diego</v>
      </c>
      <c r="C43" s="1">
        <f>IF(A43="","",A43-WEEKDAY(A43,2)+1)</f>
        <v>46216</v>
      </c>
      <c r="D43">
        <f>IF(A43="","",YEAR(A43))</f>
        <v>2026</v>
      </c>
      <c r="E43">
        <f>IF(A43="","",MONTH(A43))</f>
        <v>7</v>
      </c>
      <c r="F43" t="str">
        <v>Musculacao</v>
      </c>
      <c r="G43" t="str">
        <v>Treino membros inferiores</v>
      </c>
      <c r="H43">
        <v>45</v>
      </c>
      <c r="I43" t="str">
        <v>Moderada</v>
      </c>
      <c r="J43" t="str">
        <v>Sim</v>
      </c>
      <c r="K43">
        <v>295</v>
      </c>
      <c r="L43">
        <v>2</v>
      </c>
      <c r="M43" t="str">
        <v>Inferiores sem agachamento pesado.</v>
      </c>
    </row>
    <row r="44">
      <c r="A44" s="1">
        <v>46219</v>
      </c>
      <c r="B44" t="str">
        <v>Alice</v>
      </c>
      <c r="C44" s="1">
        <f>IF(A44="","",A44-WEEKDAY(A44,2)+1)</f>
        <v>46216</v>
      </c>
      <c r="D44">
        <f>IF(A44="","",YEAR(A44))</f>
        <v>2026</v>
      </c>
      <c r="E44">
        <f>IF(A44="","",MONTH(A44))</f>
        <v>7</v>
      </c>
      <c r="F44" t="str">
        <v>Musculacao</v>
      </c>
      <c r="G44" t="str">
        <v>Treino de forca geral</v>
      </c>
      <c r="H44">
        <v>50</v>
      </c>
      <c r="I44" t="str">
        <v>Moderada</v>
      </c>
      <c r="J44" t="str">
        <v>Sim</v>
      </c>
      <c r="K44">
        <v>255</v>
      </c>
      <c r="L44">
        <v>0</v>
      </c>
      <c r="M44" t="str">
        <v>Forca geral.</v>
      </c>
    </row>
    <row r="45">
      <c r="A45" s="1">
        <v>46220</v>
      </c>
      <c r="B45" t="str">
        <v>Diego</v>
      </c>
      <c r="C45" s="1">
        <f>IF(A45="","",A45-WEEKDAY(A45,2)+1)</f>
        <v>46216</v>
      </c>
      <c r="D45">
        <f>IF(A45="","",YEAR(A45))</f>
        <v>2026</v>
      </c>
      <c r="E45">
        <f>IF(A45="","",MONTH(A45))</f>
        <v>7</v>
      </c>
      <c r="F45" t="str">
        <v>Cardio</v>
      </c>
      <c r="G45" t="str">
        <v>Bike ergometrica</v>
      </c>
      <c r="H45">
        <v>42</v>
      </c>
      <c r="I45" t="str">
        <v>Leve</v>
      </c>
      <c r="J45" t="str">
        <v>Sim</v>
      </c>
      <c r="K45">
        <v>245</v>
      </c>
      <c r="L45">
        <v>1</v>
      </c>
      <c r="M45" t="str">
        <v>Cardio leve.</v>
      </c>
    </row>
    <row r="46">
      <c r="A46" s="1">
        <v>46221</v>
      </c>
      <c r="B46" t="str">
        <v>Alice</v>
      </c>
      <c r="C46" s="1">
        <f>IF(A46="","",A46-WEEKDAY(A46,2)+1)</f>
        <v>46216</v>
      </c>
      <c r="D46">
        <f>IF(A46="","",YEAR(A46))</f>
        <v>2026</v>
      </c>
      <c r="E46">
        <f>IF(A46="","",MONTH(A46))</f>
        <v>7</v>
      </c>
      <c r="F46" t="str">
        <v>Cardio</v>
      </c>
      <c r="G46" t="str">
        <v>Caminhada rapida</v>
      </c>
      <c r="H46">
        <v>48</v>
      </c>
      <c r="I46" t="str">
        <v>Moderada</v>
      </c>
      <c r="J46" t="str">
        <v>Sim</v>
      </c>
      <c r="K46">
        <v>250</v>
      </c>
      <c r="L46">
        <v>0</v>
      </c>
      <c r="M46" t="str">
        <v>Caminhada.</v>
      </c>
    </row>
    <row r="47">
      <c r="A47" s="1">
        <v>46223</v>
      </c>
      <c r="B47" t="str">
        <v>Diego</v>
      </c>
      <c r="C47" s="1">
        <f>IF(A47="","",A47-WEEKDAY(A47,2)+1)</f>
        <v>46223</v>
      </c>
      <c r="D47">
        <f>IF(A47="","",YEAR(A47))</f>
        <v>2026</v>
      </c>
      <c r="E47">
        <f>IF(A47="","",MONTH(A47))</f>
        <v>7</v>
      </c>
      <c r="F47" t="str">
        <v>Cardio</v>
      </c>
      <c r="G47" t="str">
        <v>Corrida leve</v>
      </c>
      <c r="H47">
        <v>45</v>
      </c>
      <c r="I47" t="str">
        <v>Moderada</v>
      </c>
      <c r="J47" t="str">
        <v>Sim</v>
      </c>
      <c r="K47">
        <v>430</v>
      </c>
      <c r="L47">
        <v>2</v>
      </c>
      <c r="M47" t="str">
        <v>Corrida continua leve.</v>
      </c>
    </row>
    <row r="48">
      <c r="A48" s="1">
        <v>46224</v>
      </c>
      <c r="B48" t="str">
        <v>Alice</v>
      </c>
      <c r="C48" s="1">
        <f>IF(A48="","",A48-WEEKDAY(A48,2)+1)</f>
        <v>46223</v>
      </c>
      <c r="D48">
        <f>IF(A48="","",YEAR(A48))</f>
        <v>2026</v>
      </c>
      <c r="E48">
        <f>IF(A48="","",MONTH(A48))</f>
        <v>7</v>
      </c>
      <c r="F48" t="str">
        <v>Musculacao</v>
      </c>
      <c r="G48" t="str">
        <v>Treino membros superiores</v>
      </c>
      <c r="H48">
        <v>45</v>
      </c>
      <c r="I48" t="str">
        <v>Moderada</v>
      </c>
      <c r="J48" t="str">
        <v>Sim</v>
      </c>
      <c r="K48">
        <v>220</v>
      </c>
      <c r="L48">
        <v>0</v>
      </c>
      <c r="M48" t="str">
        <v>Superiores.</v>
      </c>
    </row>
    <row r="49">
      <c r="A49" s="1">
        <v>46225</v>
      </c>
      <c r="B49" t="str">
        <v>Diego</v>
      </c>
      <c r="C49" s="1">
        <f>IF(A49="","",A49-WEEKDAY(A49,2)+1)</f>
        <v>46223</v>
      </c>
      <c r="D49">
        <f>IF(A49="","",YEAR(A49))</f>
        <v>2026</v>
      </c>
      <c r="E49">
        <f>IF(A49="","",MONTH(A49))</f>
        <v>7</v>
      </c>
      <c r="F49" t="str">
        <v>Mobilidade</v>
      </c>
      <c r="G49" t="str">
        <v>Mobilidade toracica</v>
      </c>
      <c r="H49">
        <v>22</v>
      </c>
      <c r="I49" t="str">
        <v>Leve</v>
      </c>
      <c r="J49" t="str">
        <v>Sim</v>
      </c>
      <c r="K49">
        <v>55</v>
      </c>
      <c r="L49">
        <v>1</v>
      </c>
      <c r="M49" t="str">
        <v>Mobilidade.</v>
      </c>
    </row>
    <row r="50">
      <c r="A50" s="1">
        <v>46226</v>
      </c>
      <c r="B50" t="str">
        <v>Alice</v>
      </c>
      <c r="C50" s="1">
        <f>IF(A50="","",A50-WEEKDAY(A50,2)+1)</f>
        <v>46223</v>
      </c>
      <c r="D50">
        <f>IF(A50="","",YEAR(A50))</f>
        <v>2026</v>
      </c>
      <c r="E50">
        <f>IF(A50="","",MONTH(A50))</f>
        <v>7</v>
      </c>
      <c r="F50" t="str">
        <v>Cardio</v>
      </c>
      <c r="G50" t="str">
        <v>Eliptico</v>
      </c>
      <c r="H50">
        <v>40</v>
      </c>
      <c r="I50" t="str">
        <v>Moderada</v>
      </c>
      <c r="J50" t="str">
        <v>Sim</v>
      </c>
      <c r="K50">
        <v>260</v>
      </c>
      <c r="L50">
        <v>0</v>
      </c>
      <c r="M50" t="str">
        <v>Cardio.</v>
      </c>
    </row>
    <row r="51">
      <c r="A51" s="1">
        <v>46227</v>
      </c>
      <c r="B51" t="str">
        <v>Diego</v>
      </c>
      <c r="C51" s="1">
        <f>IF(A51="","",A51-WEEKDAY(A51,2)+1)</f>
        <v>46223</v>
      </c>
      <c r="D51">
        <f>IF(A51="","",YEAR(A51))</f>
        <v>2026</v>
      </c>
      <c r="E51">
        <f>IF(A51="","",MONTH(A51))</f>
        <v>7</v>
      </c>
      <c r="F51" t="str">
        <v>Musculacao</v>
      </c>
      <c r="G51" t="str">
        <v>Treino membros superiores</v>
      </c>
      <c r="H51">
        <v>48</v>
      </c>
      <c r="I51" t="str">
        <v>Moderada</v>
      </c>
      <c r="J51" t="str">
        <v>Sim</v>
      </c>
      <c r="K51">
        <v>265</v>
      </c>
      <c r="L51">
        <v>1</v>
      </c>
      <c r="M51" t="str">
        <v>Boa tolerancia.</v>
      </c>
    </row>
    <row r="52">
      <c r="A52" s="1">
        <v>46228</v>
      </c>
      <c r="B52" t="str">
        <v>Alice</v>
      </c>
      <c r="C52" s="1">
        <f>IF(A52="","",A52-WEEKDAY(A52,2)+1)</f>
        <v>46223</v>
      </c>
      <c r="D52">
        <f>IF(A52="","",YEAR(A52))</f>
        <v>2026</v>
      </c>
      <c r="E52">
        <f>IF(A52="","",MONTH(A52))</f>
        <v>7</v>
      </c>
      <c r="F52" t="str">
        <v>Mobilidade</v>
      </c>
      <c r="G52" t="str">
        <v>Yoga leve</v>
      </c>
      <c r="H52">
        <v>30</v>
      </c>
      <c r="I52" t="str">
        <v>Leve</v>
      </c>
      <c r="J52" t="str">
        <v>Sim</v>
      </c>
      <c r="K52">
        <v>95</v>
      </c>
      <c r="L52">
        <v>0</v>
      </c>
      <c r="M52" t="str">
        <v>Yoga.</v>
      </c>
    </row>
    <row r="53">
      <c r="A53" s="1">
        <v>46230</v>
      </c>
      <c r="B53" t="str">
        <v>Diego</v>
      </c>
      <c r="C53" s="1">
        <f>IF(A53="","",A53-WEEKDAY(A53,2)+1)</f>
        <v>46230</v>
      </c>
      <c r="D53">
        <f>IF(A53="","",YEAR(A53))</f>
        <v>2026</v>
      </c>
      <c r="E53">
        <f>IF(A53="","",MONTH(A53))</f>
        <v>7</v>
      </c>
      <c r="F53" t="str">
        <v>Cardio</v>
      </c>
      <c r="G53" t="str">
        <v>Corrida leve</v>
      </c>
      <c r="H53">
        <v>50</v>
      </c>
      <c r="I53" t="str">
        <v>Moderada</v>
      </c>
      <c r="J53" t="str">
        <v>Sim</v>
      </c>
      <c r="K53">
        <v>480</v>
      </c>
      <c r="L53">
        <v>3</v>
      </c>
      <c r="M53" t="str">
        <v>Final com desconforto leve na lombar.</v>
      </c>
    </row>
    <row r="54">
      <c r="A54" s="1">
        <v>46231</v>
      </c>
      <c r="B54" t="str">
        <v>Alice</v>
      </c>
      <c r="C54" s="1">
        <f>IF(A54="","",A54-WEEKDAY(A54,2)+1)</f>
        <v>46230</v>
      </c>
      <c r="D54">
        <f>IF(A54="","",YEAR(A54))</f>
        <v>2026</v>
      </c>
      <c r="E54">
        <f>IF(A54="","",MONTH(A54))</f>
        <v>7</v>
      </c>
      <c r="F54" t="str">
        <v>Musculacao</v>
      </c>
      <c r="G54" t="str">
        <v>Treino membros inferiores</v>
      </c>
      <c r="H54">
        <v>50</v>
      </c>
      <c r="I54" t="str">
        <v>Moderada</v>
      </c>
      <c r="J54" t="str">
        <v>Sim</v>
      </c>
      <c r="K54">
        <v>265</v>
      </c>
      <c r="L54">
        <v>0</v>
      </c>
      <c r="M54" t="str">
        <v>Inferiores.</v>
      </c>
    </row>
    <row r="55">
      <c r="A55" s="1">
        <v>46232</v>
      </c>
      <c r="B55" t="str">
        <v>Diego</v>
      </c>
      <c r="C55" s="1">
        <f>IF(A55="","",A55-WEEKDAY(A55,2)+1)</f>
        <v>46230</v>
      </c>
      <c r="D55">
        <f>IF(A55="","",YEAR(A55))</f>
        <v>2026</v>
      </c>
      <c r="E55">
        <f>IF(A55="","",MONTH(A55))</f>
        <v>7</v>
      </c>
      <c r="F55" t="str">
        <v>Fortalecimento muscular</v>
      </c>
      <c r="G55" t="str">
        <v>Core e estabilidade</v>
      </c>
      <c r="H55">
        <v>25</v>
      </c>
      <c r="I55" t="str">
        <v>Leve</v>
      </c>
      <c r="J55" t="str">
        <v>Sim</v>
      </c>
      <c r="K55">
        <v>105</v>
      </c>
      <c r="L55">
        <v>2</v>
      </c>
      <c r="M55" t="str">
        <v>Core leve apos corrida.</v>
      </c>
    </row>
    <row r="56">
      <c r="A56" s="1">
        <v>46233</v>
      </c>
      <c r="B56" t="str">
        <v>Alice</v>
      </c>
      <c r="C56" s="1">
        <f>IF(A56="","",A56-WEEKDAY(A56,2)+1)</f>
        <v>46230</v>
      </c>
      <c r="D56">
        <f>IF(A56="","",YEAR(A56))</f>
        <v>2026</v>
      </c>
      <c r="E56">
        <f>IF(A56="","",MONTH(A56))</f>
        <v>7</v>
      </c>
      <c r="F56" t="str">
        <v>Cardio</v>
      </c>
      <c r="G56" t="str">
        <v>Caminhada rapida</v>
      </c>
      <c r="H56">
        <v>45</v>
      </c>
      <c r="I56" t="str">
        <v>Moderada</v>
      </c>
      <c r="J56" t="str">
        <v>Sim</v>
      </c>
      <c r="K56">
        <v>235</v>
      </c>
      <c r="L56">
        <v>0</v>
      </c>
      <c r="M56" t="str">
        <v>Caminhada.</v>
      </c>
    </row>
    <row r="57">
      <c r="A57" s="1">
        <v>46234</v>
      </c>
      <c r="B57" t="str">
        <v>Diego</v>
      </c>
      <c r="C57" s="1">
        <f>IF(A57="","",A57-WEEKDAY(A57,2)+1)</f>
        <v>46230</v>
      </c>
      <c r="D57">
        <f>IF(A57="","",YEAR(A57))</f>
        <v>2026</v>
      </c>
      <c r="E57">
        <f>IF(A57="","",MONTH(A57))</f>
        <v>7</v>
      </c>
      <c r="F57" t="str">
        <v>Descanso</v>
      </c>
      <c r="G57" t="str">
        <v>Descanso</v>
      </c>
      <c r="H57">
        <v>0</v>
      </c>
      <c r="I57" t="str">
        <v>Leve</v>
      </c>
      <c r="J57" t="str">
        <v>Sim</v>
      </c>
      <c r="K57">
        <v>0</v>
      </c>
      <c r="L57">
        <v>2</v>
      </c>
      <c r="M57" t="str">
        <v>Descanso ativo, sem treino.</v>
      </c>
    </row>
    <row r="58">
      <c r="A58" s="1">
        <v>46235</v>
      </c>
      <c r="B58" t="str">
        <v>Alice</v>
      </c>
      <c r="C58" s="1">
        <f>IF(A58="","",A58-WEEKDAY(A58,2)+1)</f>
        <v>46230</v>
      </c>
      <c r="D58">
        <f>IF(A58="","",YEAR(A58))</f>
        <v>2026</v>
      </c>
      <c r="E58">
        <f>IF(A58="","",MONTH(A58))</f>
        <v>8</v>
      </c>
      <c r="F58" t="str">
        <v>Musculacao</v>
      </c>
      <c r="G58" t="str">
        <v>Treino de forca geral</v>
      </c>
      <c r="H58">
        <v>50</v>
      </c>
      <c r="I58" t="str">
        <v>Moderada</v>
      </c>
      <c r="J58" t="str">
        <v>Sim</v>
      </c>
      <c r="K58">
        <v>255</v>
      </c>
      <c r="L58">
        <v>0</v>
      </c>
      <c r="M58" t="str">
        <v>Treino geral.</v>
      </c>
    </row>
    <row r="59">
      <c r="A59" s="1">
        <v>46236</v>
      </c>
      <c r="B59" t="str">
        <v>Diego</v>
      </c>
      <c r="C59" s="1">
        <f>IF(A59="","",A59-WEEKDAY(A59,2)+1)</f>
        <v>46230</v>
      </c>
      <c r="D59">
        <f>IF(A59="","",YEAR(A59))</f>
        <v>2026</v>
      </c>
      <c r="E59">
        <f>IF(A59="","",MONTH(A59))</f>
        <v>8</v>
      </c>
      <c r="F59" t="str">
        <v>Cardio</v>
      </c>
      <c r="G59" t="str">
        <v>Corrida leve</v>
      </c>
      <c r="H59">
        <v>32</v>
      </c>
      <c r="I59" t="str">
        <v>Leve</v>
      </c>
      <c r="J59" t="str">
        <v>Sim</v>
      </c>
      <c r="K59">
        <v>290</v>
      </c>
      <c r="L59">
        <v>4</v>
      </c>
      <c r="M59" t="str">
        <v>Corrida/caminhada; desconforto lombar voltou depois.</v>
      </c>
    </row>
    <row r="60">
      <c r="A60" s="1">
        <v>46236</v>
      </c>
      <c r="B60" t="str">
        <v>Alice</v>
      </c>
      <c r="C60" s="1">
        <f>IF(A60="","",A60-WEEKDAY(A60,2)+1)</f>
        <v>46230</v>
      </c>
      <c r="D60">
        <f>IF(A60="","",YEAR(A60))</f>
        <v>2026</v>
      </c>
      <c r="E60">
        <f>IF(A60="","",MONTH(A60))</f>
        <v>8</v>
      </c>
      <c r="F60" t="str">
        <v>Mobilidade</v>
      </c>
      <c r="G60" t="str">
        <v>Alongamento guiado</v>
      </c>
      <c r="H60">
        <v>25</v>
      </c>
      <c r="I60" t="str">
        <v>Leve</v>
      </c>
      <c r="J60" t="str">
        <v>Sim</v>
      </c>
      <c r="K60">
        <v>70</v>
      </c>
      <c r="L60">
        <v>0</v>
      </c>
      <c r="M60" t="str">
        <v>Alongamento.</v>
      </c>
    </row>
    <row r="61">
      <c r="A61" s="1">
        <v>46237</v>
      </c>
      <c r="B61" t="str">
        <v>Diego</v>
      </c>
      <c r="C61" s="1">
        <f>IF(A61="","",A61-WEEKDAY(A61,2)+1)</f>
        <v>46237</v>
      </c>
      <c r="D61">
        <f>IF(A61="","",YEAR(A61))</f>
        <v>2026</v>
      </c>
      <c r="E61">
        <f>IF(A61="","",MONTH(A61))</f>
        <v>8</v>
      </c>
      <c r="F61" t="str">
        <v>Descanso</v>
      </c>
      <c r="G61" t="str">
        <v>Descanso</v>
      </c>
      <c r="H61">
        <v>0</v>
      </c>
      <c r="I61" t="str">
        <v>Leve</v>
      </c>
      <c r="J61" t="str">
        <v>Sim</v>
      </c>
      <c r="K61">
        <v>0</v>
      </c>
      <c r="L61">
        <v>5</v>
      </c>
      <c r="M61" t="str">
        <v>Pausa por lombalgia.</v>
      </c>
    </row>
    <row r="62">
      <c r="A62" s="1">
        <v>46238</v>
      </c>
      <c r="B62" t="str">
        <v>Alice</v>
      </c>
      <c r="C62" s="1">
        <f>IF(A62="","",A62-WEEKDAY(A62,2)+1)</f>
        <v>46237</v>
      </c>
      <c r="D62">
        <f>IF(A62="","",YEAR(A62))</f>
        <v>2026</v>
      </c>
      <c r="E62">
        <f>IF(A62="","",MONTH(A62))</f>
        <v>8</v>
      </c>
      <c r="F62" t="str">
        <v>Cardio</v>
      </c>
      <c r="G62" t="str">
        <v>Caminhada rapida</v>
      </c>
      <c r="H62">
        <v>45</v>
      </c>
      <c r="I62" t="str">
        <v>Moderada</v>
      </c>
      <c r="J62" t="str">
        <v>Sim</v>
      </c>
      <c r="K62">
        <v>235</v>
      </c>
      <c r="L62">
        <v>0</v>
      </c>
      <c r="M62" t="str">
        <v>Caminhada.</v>
      </c>
    </row>
    <row r="63">
      <c r="A63" s="1">
        <v>46238</v>
      </c>
      <c r="B63" t="str">
        <v>Diego</v>
      </c>
      <c r="C63" s="1">
        <f>IF(A63="","",A63-WEEKDAY(A63,2)+1)</f>
        <v>46237</v>
      </c>
      <c r="D63">
        <f>IF(A63="","",YEAR(A63))</f>
        <v>2026</v>
      </c>
      <c r="E63">
        <f>IF(A63="","",MONTH(A63))</f>
        <v>8</v>
      </c>
      <c r="F63" t="str">
        <v>Mobilidade</v>
      </c>
      <c r="G63" t="str">
        <v>Mobilidade de quadril</v>
      </c>
      <c r="H63">
        <v>12</v>
      </c>
      <c r="I63" t="str">
        <v>Leve</v>
      </c>
      <c r="J63" t="str">
        <v>Sim</v>
      </c>
      <c r="K63">
        <v>30</v>
      </c>
      <c r="L63">
        <v>5</v>
      </c>
      <c r="M63" t="str">
        <v>Mobilidade muito suave, sem forcar.</v>
      </c>
    </row>
    <row r="64">
      <c r="A64" s="1">
        <v>46239</v>
      </c>
      <c r="B64" t="str">
        <v>Diego</v>
      </c>
      <c r="C64" s="1">
        <f>IF(A64="","",A64-WEEKDAY(A64,2)+1)</f>
        <v>46237</v>
      </c>
      <c r="D64">
        <f>IF(A64="","",YEAR(A64))</f>
        <v>2026</v>
      </c>
      <c r="E64">
        <f>IF(A64="","",MONTH(A64))</f>
        <v>8</v>
      </c>
      <c r="F64" t="str">
        <v>Descanso</v>
      </c>
      <c r="G64" t="str">
        <v>Descanso</v>
      </c>
      <c r="H64">
        <v>0</v>
      </c>
      <c r="I64" t="str">
        <v>Leve</v>
      </c>
      <c r="J64" t="str">
        <v>Sim</v>
      </c>
      <c r="K64">
        <v>0</v>
      </c>
      <c r="L64">
        <v>6</v>
      </c>
      <c r="M64" t="str">
        <v>Sem treino por dor lombar irradiada.</v>
      </c>
    </row>
    <row r="65">
      <c r="A65" s="1">
        <v>46240</v>
      </c>
      <c r="B65" t="str">
        <v>Alice</v>
      </c>
      <c r="C65" s="1">
        <f>IF(A65="","",A65-WEEKDAY(A65,2)+1)</f>
        <v>46237</v>
      </c>
      <c r="D65">
        <f>IF(A65="","",YEAR(A65))</f>
        <v>2026</v>
      </c>
      <c r="E65">
        <f>IF(A65="","",MONTH(A65))</f>
        <v>8</v>
      </c>
      <c r="F65" t="str">
        <v>Musculacao</v>
      </c>
      <c r="G65" t="str">
        <v>Treino membros superiores</v>
      </c>
      <c r="H65">
        <v>45</v>
      </c>
      <c r="I65" t="str">
        <v>Moderada</v>
      </c>
      <c r="J65" t="str">
        <v>Sim</v>
      </c>
      <c r="K65">
        <v>215</v>
      </c>
      <c r="L65">
        <v>0</v>
      </c>
      <c r="M65" t="str">
        <v>Treino superiores.</v>
      </c>
    </row>
    <row r="66">
      <c r="A66" s="1">
        <v>46240</v>
      </c>
      <c r="B66" t="str">
        <v>Diego</v>
      </c>
      <c r="C66" s="1">
        <f>IF(A66="","",A66-WEEKDAY(A66,2)+1)</f>
        <v>46237</v>
      </c>
      <c r="D66">
        <f>IF(A66="","",YEAR(A66))</f>
        <v>2026</v>
      </c>
      <c r="E66">
        <f>IF(A66="","",MONTH(A66))</f>
        <v>8</v>
      </c>
      <c r="F66" t="str">
        <v>Descanso</v>
      </c>
      <c r="G66" t="str">
        <v>Descanso</v>
      </c>
      <c r="H66">
        <v>0</v>
      </c>
      <c r="I66" t="str">
        <v>Leve</v>
      </c>
      <c r="J66" t="str">
        <v>Sim</v>
      </c>
      <c r="K66">
        <v>0</v>
      </c>
      <c r="L66">
        <v>6</v>
      </c>
      <c r="M66" t="str">
        <v>Prioridade em manejo da dor.</v>
      </c>
    </row>
    <row r="67">
      <c r="A67" s="1">
        <v>46241</v>
      </c>
      <c r="B67" t="str">
        <v>Alice</v>
      </c>
      <c r="C67" s="1">
        <f>IF(A67="","",A67-WEEKDAY(A67,2)+1)</f>
        <v>46237</v>
      </c>
      <c r="D67">
        <f>IF(A67="","",YEAR(A67))</f>
        <v>2026</v>
      </c>
      <c r="E67">
        <f>IF(A67="","",MONTH(A67))</f>
        <v>8</v>
      </c>
      <c r="F67" t="str">
        <v>Cardio</v>
      </c>
      <c r="G67" t="str">
        <v>Eliptico</v>
      </c>
      <c r="H67">
        <v>35</v>
      </c>
      <c r="I67" t="str">
        <v>Moderada</v>
      </c>
      <c r="J67" t="str">
        <v>Sim</v>
      </c>
      <c r="K67">
        <v>225</v>
      </c>
      <c r="L67">
        <v>0</v>
      </c>
      <c r="M67" t="str">
        <v>Cardio moderado.</v>
      </c>
    </row>
    <row r="68">
      <c r="A68" s="1">
        <v>46241</v>
      </c>
      <c r="B68" t="str">
        <v>Diego</v>
      </c>
      <c r="C68" s="1">
        <f>IF(A68="","",A68-WEEKDAY(A68,2)+1)</f>
        <v>46237</v>
      </c>
      <c r="D68">
        <f>IF(A68="","",YEAR(A68))</f>
        <v>2026</v>
      </c>
      <c r="E68">
        <f>IF(A68="","",MONTH(A68))</f>
        <v>8</v>
      </c>
      <c r="F68" t="str">
        <v>Mobilidade</v>
      </c>
      <c r="G68" t="str">
        <v>Mobilidade toracica</v>
      </c>
      <c r="H68">
        <v>10</v>
      </c>
      <c r="I68" t="str">
        <v>Leve</v>
      </c>
      <c r="J68" t="str">
        <v>Sim</v>
      </c>
      <c r="K68">
        <v>25</v>
      </c>
      <c r="L68">
        <v>5</v>
      </c>
      <c r="M68" t="str">
        <v>Respiracao e mobilidade leve.</v>
      </c>
    </row>
    <row r="69">
      <c r="A69" s="1">
        <v>46242</v>
      </c>
      <c r="B69" t="str">
        <v>Alice</v>
      </c>
      <c r="C69" s="1">
        <f>IF(A69="","",A69-WEEKDAY(A69,2)+1)</f>
        <v>46237</v>
      </c>
      <c r="D69">
        <f>IF(A69="","",YEAR(A69))</f>
        <v>2026</v>
      </c>
      <c r="E69">
        <f>IF(A69="","",MONTH(A69))</f>
        <v>8</v>
      </c>
      <c r="F69" t="str">
        <v>Mobilidade</v>
      </c>
      <c r="G69" t="str">
        <v>Yoga leve</v>
      </c>
      <c r="H69">
        <v>30</v>
      </c>
      <c r="I69" t="str">
        <v>Leve</v>
      </c>
      <c r="J69" t="str">
        <v>Sim</v>
      </c>
      <c r="K69">
        <v>95</v>
      </c>
      <c r="L69">
        <v>0</v>
      </c>
      <c r="M69" t="str">
        <v>Yoga leve.</v>
      </c>
    </row>
    <row r="70">
      <c r="A70" s="1">
        <v>46243</v>
      </c>
      <c r="B70" t="str">
        <v>Diego</v>
      </c>
      <c r="C70" s="1">
        <f>IF(A70="","",A70-WEEKDAY(A70,2)+1)</f>
        <v>46237</v>
      </c>
      <c r="D70">
        <f>IF(A70="","",YEAR(A70))</f>
        <v>2026</v>
      </c>
      <c r="E70">
        <f>IF(A70="","",MONTH(A70))</f>
        <v>8</v>
      </c>
      <c r="F70" t="str">
        <v>Descanso</v>
      </c>
      <c r="G70" t="str">
        <v>Descanso</v>
      </c>
      <c r="H70">
        <v>0</v>
      </c>
      <c r="I70" t="str">
        <v>Leve</v>
      </c>
      <c r="J70" t="str">
        <v>Sim</v>
      </c>
      <c r="K70">
        <v>0</v>
      </c>
      <c r="L70">
        <v>5</v>
      </c>
      <c r="M70" t="str">
        <v>Ainda sem retorno a corrida.</v>
      </c>
    </row>
  </sheetData>
  <mergeCells count="2">
    <mergeCell ref="A2:H2"/>
    <mergeCell ref="A1:H1"/>
  </mergeCells>
  <pageMargins left="0.75" right="0.75" top="1" bottom="1" header="0.5" footer="0.5"/>
  <ignoredErrors>
    <ignoredError numberStoredAsText="1" sqref="A1:M1004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04"/>
  <sheetViews>
    <sheetView workbookViewId="0" rightToLeft="0"/>
  </sheetViews>
  <sheetData>
    <row r="1">
      <c r="A1" t="str">
        <v>PLANO SEMANAL</v>
      </c>
    </row>
    <row r="2">
      <c r="A2" t="str">
        <v>Planejamento de treinos por semana. Use para comparar planejado x realizado.</v>
      </c>
    </row>
    <row r="4">
      <c r="A4" t="str">
        <v>ID_Plano</v>
      </c>
      <c r="B4" t="str">
        <v>Pessoa</v>
      </c>
      <c r="C4" t="str">
        <v>Semana_Inicio</v>
      </c>
      <c r="D4" t="str">
        <v>Dia_Semana</v>
      </c>
      <c r="E4" t="str">
        <v>Data</v>
      </c>
      <c r="F4" t="str">
        <v>Categoria</v>
      </c>
      <c r="G4" t="str">
        <v>Atividade</v>
      </c>
      <c r="H4" t="str">
        <v>Descricao</v>
      </c>
      <c r="I4" t="str">
        <v>Duracao_Prevista_min</v>
      </c>
      <c r="J4" t="str">
        <v>Intensidade</v>
      </c>
      <c r="K4" t="str">
        <v>Status</v>
      </c>
      <c r="L4" t="str">
        <v>Observacoes</v>
      </c>
    </row>
    <row r="5">
      <c r="A5">
        <f>IF(E5="","",ROW()-4)</f>
        <v>1</v>
      </c>
      <c r="B5" t="str">
        <v>Diego</v>
      </c>
      <c r="C5" s="1">
        <v>46244</v>
      </c>
      <c r="D5" t="str">
        <v>Segunda</v>
      </c>
      <c r="E5" s="1">
        <v>46244</v>
      </c>
      <c r="F5" t="str">
        <v>Mobilidade</v>
      </c>
      <c r="G5" t="str">
        <v>Mobilidade de quadril</v>
      </c>
      <c r="H5" t="str">
        <v>Rotina leve sem dor, foco em amplitude confortável.</v>
      </c>
      <c r="I5">
        <v>15</v>
      </c>
      <c r="J5" t="str">
        <v>Leve</v>
      </c>
      <c r="K5" t="str">
        <v>Planejado</v>
      </c>
      <c r="L5" t="str">
        <v>Manter apenas se caminhar sem piora.</v>
      </c>
    </row>
    <row r="6">
      <c r="A6">
        <f>IF(E6="","",ROW()-4)</f>
        <v>2</v>
      </c>
      <c r="B6" t="str">
        <v>Diego</v>
      </c>
      <c r="C6" s="1">
        <v>46244</v>
      </c>
      <c r="D6" t="str">
        <v>Quarta</v>
      </c>
      <c r="E6" s="1">
        <v>46246</v>
      </c>
      <c r="F6" t="str">
        <v>Fortalecimento muscular</v>
      </c>
      <c r="G6" t="str">
        <v>Core e estabilidade</v>
      </c>
      <c r="H6" t="str">
        <v>Core leve: antirotacao, ponte curta e respiracao.</v>
      </c>
      <c r="I6">
        <v>20</v>
      </c>
      <c r="J6" t="str">
        <v>Leve</v>
      </c>
      <c r="K6" t="str">
        <v>Planejado</v>
      </c>
      <c r="L6" t="str">
        <v>Sem impacto e sem dor irradiada.</v>
      </c>
    </row>
    <row r="7">
      <c r="A7">
        <f>IF(E7="","",ROW()-4)</f>
        <v>3</v>
      </c>
      <c r="B7" t="str">
        <v>Diego</v>
      </c>
      <c r="C7" s="1">
        <v>46244</v>
      </c>
      <c r="D7" t="str">
        <v>Sexta</v>
      </c>
      <c r="E7" s="1">
        <v>46248</v>
      </c>
      <c r="F7" t="str">
        <v>Cardio</v>
      </c>
      <c r="G7" t="str">
        <v>Bike ergometrica</v>
      </c>
      <c r="H7" t="str">
        <v>Bike muito leve/Z1-Z2, se tolerado.</v>
      </c>
      <c r="I7">
        <v>25</v>
      </c>
      <c r="J7" t="str">
        <v>Leve</v>
      </c>
      <c r="K7" t="str">
        <v>Planejado</v>
      </c>
      <c r="L7" t="str">
        <v>Cancelar se dor subir.</v>
      </c>
    </row>
    <row r="8">
      <c r="A8">
        <f>IF(E8="","",ROW()-4)</f>
        <v>4</v>
      </c>
      <c r="B8" t="str">
        <v>Diego</v>
      </c>
      <c r="C8" s="1">
        <v>46244</v>
      </c>
      <c r="D8" t="str">
        <v>Domingo</v>
      </c>
      <c r="E8" s="1">
        <v>46250</v>
      </c>
      <c r="F8" t="str">
        <v>Descanso</v>
      </c>
      <c r="G8" t="str">
        <v>Descanso</v>
      </c>
      <c r="H8" t="str">
        <v>Descanso ativo e caminhada curta se estiver bem.</v>
      </c>
      <c r="I8">
        <v>0</v>
      </c>
      <c r="J8" t="str">
        <v>Leve</v>
      </c>
      <c r="K8" t="str">
        <v>Planejado</v>
      </c>
      <c r="L8" t="str">
        <v>Prioridade: recuperação lombar.</v>
      </c>
    </row>
    <row r="9">
      <c r="A9">
        <f>IF(E9="","",ROW()-4)</f>
        <v>5</v>
      </c>
      <c r="B9" t="str">
        <v>Alice</v>
      </c>
      <c r="C9" s="1">
        <v>46244</v>
      </c>
      <c r="D9" t="str">
        <v>Segunda</v>
      </c>
      <c r="E9" s="1">
        <v>46244</v>
      </c>
      <c r="F9" t="str">
        <v>Cardio</v>
      </c>
      <c r="G9" t="str">
        <v>Caminhada rapida</v>
      </c>
      <c r="H9" t="str">
        <v>Caminhada contínua em ritmo confortável.</v>
      </c>
      <c r="I9">
        <v>45</v>
      </c>
      <c r="J9" t="str">
        <v>Moderada</v>
      </c>
      <c r="K9" t="str">
        <v>Planejado</v>
      </c>
    </row>
    <row r="10">
      <c r="A10">
        <f>IF(E10="","",ROW()-4)</f>
        <v>6</v>
      </c>
      <c r="B10" t="str">
        <v>Alice</v>
      </c>
      <c r="C10" s="1">
        <v>46244</v>
      </c>
      <c r="D10" t="str">
        <v>Terca</v>
      </c>
      <c r="E10" s="1">
        <v>46245</v>
      </c>
      <c r="F10" t="str">
        <v>Musculacao</v>
      </c>
      <c r="G10" t="str">
        <v>Treino de forca geral</v>
      </c>
      <c r="H10" t="str">
        <v>Treino de força geral com foco em técnica.</v>
      </c>
      <c r="I10">
        <v>50</v>
      </c>
      <c r="J10" t="str">
        <v>Moderada</v>
      </c>
      <c r="K10" t="str">
        <v>Planejado</v>
      </c>
    </row>
    <row r="11">
      <c r="A11">
        <f>IF(E11="","",ROW()-4)</f>
        <v>7</v>
      </c>
      <c r="B11" t="str">
        <v>Alice</v>
      </c>
      <c r="C11" s="1">
        <v>46244</v>
      </c>
      <c r="D11" t="str">
        <v>Quinta</v>
      </c>
      <c r="E11" s="1">
        <v>46247</v>
      </c>
      <c r="F11" t="str">
        <v>Cardio</v>
      </c>
      <c r="G11" t="str">
        <v>Eliptico</v>
      </c>
      <c r="H11" t="str">
        <v>Cardio moderado sem impacto.</v>
      </c>
      <c r="I11">
        <v>40</v>
      </c>
      <c r="J11" t="str">
        <v>Moderada</v>
      </c>
      <c r="K11" t="str">
        <v>Planejado</v>
      </c>
    </row>
    <row r="12">
      <c r="A12">
        <f>IF(E12="","",ROW()-4)</f>
        <v>8</v>
      </c>
      <c r="B12" t="str">
        <v>Alice</v>
      </c>
      <c r="C12" s="1">
        <v>46244</v>
      </c>
      <c r="D12" t="str">
        <v>Sabado</v>
      </c>
      <c r="E12" s="1">
        <v>46249</v>
      </c>
      <c r="F12" t="str">
        <v>Mobilidade</v>
      </c>
      <c r="G12" t="str">
        <v>Yoga leve</v>
      </c>
      <c r="H12" t="str">
        <v>Mobilidade e respiração.</v>
      </c>
      <c r="I12">
        <v>30</v>
      </c>
      <c r="J12" t="str">
        <v>Leve</v>
      </c>
      <c r="K12" t="str">
        <v>Planejado</v>
      </c>
    </row>
    <row r="13">
      <c r="A13">
        <f>IF(E13="","",ROW()-4)</f>
        <v>9</v>
      </c>
      <c r="B13" t="str">
        <v>Diego</v>
      </c>
      <c r="C13" s="1">
        <v>46251</v>
      </c>
      <c r="D13" t="str">
        <v>Segunda</v>
      </c>
      <c r="E13" s="1">
        <v>46251</v>
      </c>
      <c r="F13" t="str">
        <v>Mobilidade</v>
      </c>
      <c r="G13" t="str">
        <v>Mobilidade de quadril</v>
      </c>
      <c r="H13" t="str">
        <v>Rotina leve sem dor, foco em amplitude confortável.</v>
      </c>
      <c r="I13">
        <v>15</v>
      </c>
      <c r="J13" t="str">
        <v>Leve</v>
      </c>
      <c r="K13" t="str">
        <v>Planejado</v>
      </c>
      <c r="L13" t="str">
        <v>Manter apenas se caminhar sem piora.</v>
      </c>
    </row>
    <row r="14">
      <c r="A14">
        <f>IF(E14="","",ROW()-4)</f>
        <v>10</v>
      </c>
      <c r="B14" t="str">
        <v>Diego</v>
      </c>
      <c r="C14" s="1">
        <v>46251</v>
      </c>
      <c r="D14" t="str">
        <v>Quarta</v>
      </c>
      <c r="E14" s="1">
        <v>46253</v>
      </c>
      <c r="F14" t="str">
        <v>Fortalecimento muscular</v>
      </c>
      <c r="G14" t="str">
        <v>Core e estabilidade</v>
      </c>
      <c r="H14" t="str">
        <v>Core leve: antirotacao, ponte curta e respiracao.</v>
      </c>
      <c r="I14">
        <v>20</v>
      </c>
      <c r="J14" t="str">
        <v>Leve</v>
      </c>
      <c r="K14" t="str">
        <v>Planejado</v>
      </c>
      <c r="L14" t="str">
        <v>Sem impacto e sem dor irradiada.</v>
      </c>
    </row>
    <row r="15">
      <c r="A15">
        <f>IF(E15="","",ROW()-4)</f>
        <v>11</v>
      </c>
      <c r="B15" t="str">
        <v>Diego</v>
      </c>
      <c r="C15" s="1">
        <v>46251</v>
      </c>
      <c r="D15" t="str">
        <v>Sexta</v>
      </c>
      <c r="E15" s="1">
        <v>46255</v>
      </c>
      <c r="F15" t="str">
        <v>Cardio</v>
      </c>
      <c r="G15" t="str">
        <v>Bike ergometrica</v>
      </c>
      <c r="H15" t="str">
        <v>Bike muito leve/Z1-Z2, se tolerado.</v>
      </c>
      <c r="I15">
        <v>25</v>
      </c>
      <c r="J15" t="str">
        <v>Leve</v>
      </c>
      <c r="K15" t="str">
        <v>Planejado</v>
      </c>
      <c r="L15" t="str">
        <v>Cancelar se dor subir.</v>
      </c>
    </row>
    <row r="16">
      <c r="A16">
        <f>IF(E16="","",ROW()-4)</f>
        <v>12</v>
      </c>
      <c r="B16" t="str">
        <v>Diego</v>
      </c>
      <c r="C16" s="1">
        <v>46251</v>
      </c>
      <c r="D16" t="str">
        <v>Domingo</v>
      </c>
      <c r="E16" s="1">
        <v>46257</v>
      </c>
      <c r="F16" t="str">
        <v>Descanso</v>
      </c>
      <c r="G16" t="str">
        <v>Descanso</v>
      </c>
      <c r="H16" t="str">
        <v>Descanso ativo e caminhada curta se estiver bem.</v>
      </c>
      <c r="I16">
        <v>0</v>
      </c>
      <c r="J16" t="str">
        <v>Leve</v>
      </c>
      <c r="K16" t="str">
        <v>Planejado</v>
      </c>
      <c r="L16" t="str">
        <v>Prioridade: recuperação lombar.</v>
      </c>
    </row>
    <row r="17">
      <c r="A17">
        <f>IF(E17="","",ROW()-4)</f>
        <v>13</v>
      </c>
      <c r="B17" t="str">
        <v>Alice</v>
      </c>
      <c r="C17" s="1">
        <v>46251</v>
      </c>
      <c r="D17" t="str">
        <v>Segunda</v>
      </c>
      <c r="E17" s="1">
        <v>46251</v>
      </c>
      <c r="F17" t="str">
        <v>Cardio</v>
      </c>
      <c r="G17" t="str">
        <v>Caminhada rapida</v>
      </c>
      <c r="H17" t="str">
        <v>Caminhada contínua em ritmo confortável.</v>
      </c>
      <c r="I17">
        <v>45</v>
      </c>
      <c r="J17" t="str">
        <v>Moderada</v>
      </c>
      <c r="K17" t="str">
        <v>Planejado</v>
      </c>
    </row>
    <row r="18">
      <c r="A18">
        <f>IF(E18="","",ROW()-4)</f>
        <v>14</v>
      </c>
      <c r="B18" t="str">
        <v>Alice</v>
      </c>
      <c r="C18" s="1">
        <v>46251</v>
      </c>
      <c r="D18" t="str">
        <v>Terca</v>
      </c>
      <c r="E18" s="1">
        <v>46252</v>
      </c>
      <c r="F18" t="str">
        <v>Musculacao</v>
      </c>
      <c r="G18" t="str">
        <v>Treino de forca geral</v>
      </c>
      <c r="H18" t="str">
        <v>Treino de força geral com foco em técnica.</v>
      </c>
      <c r="I18">
        <v>50</v>
      </c>
      <c r="J18" t="str">
        <v>Moderada</v>
      </c>
      <c r="K18" t="str">
        <v>Planejado</v>
      </c>
    </row>
    <row r="19">
      <c r="A19">
        <f>IF(E19="","",ROW()-4)</f>
        <v>15</v>
      </c>
      <c r="B19" t="str">
        <v>Alice</v>
      </c>
      <c r="C19" s="1">
        <v>46251</v>
      </c>
      <c r="D19" t="str">
        <v>Quinta</v>
      </c>
      <c r="E19" s="1">
        <v>46254</v>
      </c>
      <c r="F19" t="str">
        <v>Cardio</v>
      </c>
      <c r="G19" t="str">
        <v>Eliptico</v>
      </c>
      <c r="H19" t="str">
        <v>Cardio moderado sem impacto.</v>
      </c>
      <c r="I19">
        <v>40</v>
      </c>
      <c r="J19" t="str">
        <v>Moderada</v>
      </c>
      <c r="K19" t="str">
        <v>Planejado</v>
      </c>
    </row>
    <row r="20">
      <c r="A20">
        <f>IF(E20="","",ROW()-4)</f>
        <v>16</v>
      </c>
      <c r="B20" t="str">
        <v>Alice</v>
      </c>
      <c r="C20" s="1">
        <v>46251</v>
      </c>
      <c r="D20" t="str">
        <v>Sabado</v>
      </c>
      <c r="E20" s="1">
        <v>46256</v>
      </c>
      <c r="F20" t="str">
        <v>Mobilidade</v>
      </c>
      <c r="G20" t="str">
        <v>Yoga leve</v>
      </c>
      <c r="H20" t="str">
        <v>Mobilidade e respiração.</v>
      </c>
      <c r="I20">
        <v>30</v>
      </c>
      <c r="J20" t="str">
        <v>Leve</v>
      </c>
      <c r="K20" t="str">
        <v>Planejado</v>
      </c>
    </row>
    <row r="21">
      <c r="A21">
        <f>IF(E21="","",ROW()-4)</f>
        <v>17</v>
      </c>
      <c r="B21" t="str">
        <v>Diego</v>
      </c>
      <c r="C21" s="1">
        <v>46258</v>
      </c>
      <c r="D21" t="str">
        <v>Segunda</v>
      </c>
      <c r="E21" s="1">
        <v>46258</v>
      </c>
      <c r="F21" t="str">
        <v>Mobilidade</v>
      </c>
      <c r="G21" t="str">
        <v>Mobilidade de quadril</v>
      </c>
      <c r="H21" t="str">
        <v>Rotina leve sem dor, foco em amplitude confortável.</v>
      </c>
      <c r="I21">
        <v>15</v>
      </c>
      <c r="J21" t="str">
        <v>Leve</v>
      </c>
      <c r="K21" t="str">
        <v>Planejado</v>
      </c>
      <c r="L21" t="str">
        <v>Manter apenas se caminhar sem piora.</v>
      </c>
    </row>
    <row r="22">
      <c r="A22">
        <f>IF(E22="","",ROW()-4)</f>
        <v>18</v>
      </c>
      <c r="B22" t="str">
        <v>Diego</v>
      </c>
      <c r="C22" s="1">
        <v>46258</v>
      </c>
      <c r="D22" t="str">
        <v>Quarta</v>
      </c>
      <c r="E22" s="1">
        <v>46260</v>
      </c>
      <c r="F22" t="str">
        <v>Fortalecimento muscular</v>
      </c>
      <c r="G22" t="str">
        <v>Core e estabilidade</v>
      </c>
      <c r="H22" t="str">
        <v>Core leve: antirotacao, ponte curta e respiracao.</v>
      </c>
      <c r="I22">
        <v>20</v>
      </c>
      <c r="J22" t="str">
        <v>Leve</v>
      </c>
      <c r="K22" t="str">
        <v>Planejado</v>
      </c>
      <c r="L22" t="str">
        <v>Sem impacto e sem dor irradiada.</v>
      </c>
    </row>
    <row r="23">
      <c r="A23">
        <f>IF(E23="","",ROW()-4)</f>
        <v>19</v>
      </c>
      <c r="B23" t="str">
        <v>Diego</v>
      </c>
      <c r="C23" s="1">
        <v>46258</v>
      </c>
      <c r="D23" t="str">
        <v>Sexta</v>
      </c>
      <c r="E23" s="1">
        <v>46262</v>
      </c>
      <c r="F23" t="str">
        <v>Cardio</v>
      </c>
      <c r="G23" t="str">
        <v>Bike ergometrica</v>
      </c>
      <c r="H23" t="str">
        <v>Bike muito leve/Z1-Z2, se tolerado.</v>
      </c>
      <c r="I23">
        <v>25</v>
      </c>
      <c r="J23" t="str">
        <v>Leve</v>
      </c>
      <c r="K23" t="str">
        <v>Planejado</v>
      </c>
      <c r="L23" t="str">
        <v>Cancelar se dor subir.</v>
      </c>
    </row>
    <row r="24">
      <c r="A24">
        <f>IF(E24="","",ROW()-4)</f>
        <v>20</v>
      </c>
      <c r="B24" t="str">
        <v>Diego</v>
      </c>
      <c r="C24" s="1">
        <v>46258</v>
      </c>
      <c r="D24" t="str">
        <v>Domingo</v>
      </c>
      <c r="E24" s="1">
        <v>46264</v>
      </c>
      <c r="F24" t="str">
        <v>Descanso</v>
      </c>
      <c r="G24" t="str">
        <v>Descanso</v>
      </c>
      <c r="H24" t="str">
        <v>Descanso ativo e caminhada curta se estiver bem.</v>
      </c>
      <c r="I24">
        <v>0</v>
      </c>
      <c r="J24" t="str">
        <v>Leve</v>
      </c>
      <c r="K24" t="str">
        <v>Planejado</v>
      </c>
      <c r="L24" t="str">
        <v>Prioridade: recuperação lombar.</v>
      </c>
    </row>
    <row r="25">
      <c r="A25">
        <f>IF(E25="","",ROW()-4)</f>
        <v>21</v>
      </c>
      <c r="B25" t="str">
        <v>Alice</v>
      </c>
      <c r="C25" s="1">
        <v>46258</v>
      </c>
      <c r="D25" t="str">
        <v>Segunda</v>
      </c>
      <c r="E25" s="1">
        <v>46258</v>
      </c>
      <c r="F25" t="str">
        <v>Cardio</v>
      </c>
      <c r="G25" t="str">
        <v>Caminhada rapida</v>
      </c>
      <c r="H25" t="str">
        <v>Caminhada contínua em ritmo confortável.</v>
      </c>
      <c r="I25">
        <v>45</v>
      </c>
      <c r="J25" t="str">
        <v>Moderada</v>
      </c>
      <c r="K25" t="str">
        <v>Planejado</v>
      </c>
    </row>
    <row r="26">
      <c r="A26">
        <f>IF(E26="","",ROW()-4)</f>
        <v>22</v>
      </c>
      <c r="B26" t="str">
        <v>Alice</v>
      </c>
      <c r="C26" s="1">
        <v>46258</v>
      </c>
      <c r="D26" t="str">
        <v>Terca</v>
      </c>
      <c r="E26" s="1">
        <v>46259</v>
      </c>
      <c r="F26" t="str">
        <v>Musculacao</v>
      </c>
      <c r="G26" t="str">
        <v>Treino de forca geral</v>
      </c>
      <c r="H26" t="str">
        <v>Treino de força geral com foco em técnica.</v>
      </c>
      <c r="I26">
        <v>50</v>
      </c>
      <c r="J26" t="str">
        <v>Moderada</v>
      </c>
      <c r="K26" t="str">
        <v>Planejado</v>
      </c>
    </row>
    <row r="27">
      <c r="A27">
        <f>IF(E27="","",ROW()-4)</f>
        <v>23</v>
      </c>
      <c r="B27" t="str">
        <v>Alice</v>
      </c>
      <c r="C27" s="1">
        <v>46258</v>
      </c>
      <c r="D27" t="str">
        <v>Quinta</v>
      </c>
      <c r="E27" s="1">
        <v>46261</v>
      </c>
      <c r="F27" t="str">
        <v>Cardio</v>
      </c>
      <c r="G27" t="str">
        <v>Eliptico</v>
      </c>
      <c r="H27" t="str">
        <v>Cardio moderado sem impacto.</v>
      </c>
      <c r="I27">
        <v>40</v>
      </c>
      <c r="J27" t="str">
        <v>Moderada</v>
      </c>
      <c r="K27" t="str">
        <v>Planejado</v>
      </c>
    </row>
    <row r="28">
      <c r="A28">
        <f>IF(E28="","",ROW()-4)</f>
        <v>24</v>
      </c>
      <c r="B28" t="str">
        <v>Alice</v>
      </c>
      <c r="C28" s="1">
        <v>46258</v>
      </c>
      <c r="D28" t="str">
        <v>Sabado</v>
      </c>
      <c r="E28" s="1">
        <v>46263</v>
      </c>
      <c r="F28" t="str">
        <v>Mobilidade</v>
      </c>
      <c r="G28" t="str">
        <v>Yoga leve</v>
      </c>
      <c r="H28" t="str">
        <v>Mobilidade e respiração.</v>
      </c>
      <c r="I28">
        <v>30</v>
      </c>
      <c r="J28" t="str">
        <v>Leve</v>
      </c>
      <c r="K28" t="str">
        <v>Planejado</v>
      </c>
    </row>
    <row r="29">
      <c r="A29">
        <f>IF(E29="","",ROW()-4)</f>
        <v>25</v>
      </c>
      <c r="B29" t="str">
        <v>Diego</v>
      </c>
      <c r="C29" s="1">
        <v>46265</v>
      </c>
      <c r="D29" t="str">
        <v>Segunda</v>
      </c>
      <c r="E29" s="1">
        <v>46265</v>
      </c>
      <c r="F29" t="str">
        <v>Mobilidade</v>
      </c>
      <c r="G29" t="str">
        <v>Mobilidade de quadril</v>
      </c>
      <c r="H29" t="str">
        <v>Rotina leve sem dor, foco em amplitude confortável.</v>
      </c>
      <c r="I29">
        <v>15</v>
      </c>
      <c r="J29" t="str">
        <v>Leve</v>
      </c>
      <c r="K29" t="str">
        <v>Planejado</v>
      </c>
      <c r="L29" t="str">
        <v>Manter apenas se caminhar sem piora.</v>
      </c>
    </row>
    <row r="30">
      <c r="A30">
        <f>IF(E30="","",ROW()-4)</f>
        <v>26</v>
      </c>
      <c r="B30" t="str">
        <v>Diego</v>
      </c>
      <c r="C30" s="1">
        <v>46265</v>
      </c>
      <c r="D30" t="str">
        <v>Quarta</v>
      </c>
      <c r="E30" s="1">
        <v>46267</v>
      </c>
      <c r="F30" t="str">
        <v>Fortalecimento muscular</v>
      </c>
      <c r="G30" t="str">
        <v>Core e estabilidade</v>
      </c>
      <c r="H30" t="str">
        <v>Core leve: antirotacao, ponte curta e respiracao.</v>
      </c>
      <c r="I30">
        <v>20</v>
      </c>
      <c r="J30" t="str">
        <v>Leve</v>
      </c>
      <c r="K30" t="str">
        <v>Planejado</v>
      </c>
      <c r="L30" t="str">
        <v>Sem impacto e sem dor irradiada.</v>
      </c>
    </row>
    <row r="31">
      <c r="A31">
        <f>IF(E31="","",ROW()-4)</f>
        <v>27</v>
      </c>
      <c r="B31" t="str">
        <v>Diego</v>
      </c>
      <c r="C31" s="1">
        <v>46265</v>
      </c>
      <c r="D31" t="str">
        <v>Sexta</v>
      </c>
      <c r="E31" s="1">
        <v>46269</v>
      </c>
      <c r="F31" t="str">
        <v>Cardio</v>
      </c>
      <c r="G31" t="str">
        <v>Bike ergometrica</v>
      </c>
      <c r="H31" t="str">
        <v>Bike muito leve/Z1-Z2, se tolerado.</v>
      </c>
      <c r="I31">
        <v>25</v>
      </c>
      <c r="J31" t="str">
        <v>Leve</v>
      </c>
      <c r="K31" t="str">
        <v>Planejado</v>
      </c>
      <c r="L31" t="str">
        <v>Cancelar se dor subir.</v>
      </c>
    </row>
    <row r="32">
      <c r="A32">
        <f>IF(E32="","",ROW()-4)</f>
        <v>28</v>
      </c>
      <c r="B32" t="str">
        <v>Diego</v>
      </c>
      <c r="C32" s="1">
        <v>46265</v>
      </c>
      <c r="D32" t="str">
        <v>Domingo</v>
      </c>
      <c r="E32" s="1">
        <v>46271</v>
      </c>
      <c r="F32" t="str">
        <v>Descanso</v>
      </c>
      <c r="G32" t="str">
        <v>Descanso</v>
      </c>
      <c r="H32" t="str">
        <v>Descanso ativo e caminhada curta se estiver bem.</v>
      </c>
      <c r="I32">
        <v>0</v>
      </c>
      <c r="J32" t="str">
        <v>Leve</v>
      </c>
      <c r="K32" t="str">
        <v>Planejado</v>
      </c>
      <c r="L32" t="str">
        <v>Prioridade: recuperação lombar.</v>
      </c>
    </row>
    <row r="33">
      <c r="A33">
        <f>IF(E33="","",ROW()-4)</f>
        <v>29</v>
      </c>
      <c r="B33" t="str">
        <v>Alice</v>
      </c>
      <c r="C33" s="1">
        <v>46265</v>
      </c>
      <c r="D33" t="str">
        <v>Segunda</v>
      </c>
      <c r="E33" s="1">
        <v>46265</v>
      </c>
      <c r="F33" t="str">
        <v>Cardio</v>
      </c>
      <c r="G33" t="str">
        <v>Caminhada rapida</v>
      </c>
      <c r="H33" t="str">
        <v>Caminhada contínua em ritmo confortável.</v>
      </c>
      <c r="I33">
        <v>45</v>
      </c>
      <c r="J33" t="str">
        <v>Moderada</v>
      </c>
      <c r="K33" t="str">
        <v>Planejado</v>
      </c>
    </row>
    <row r="34">
      <c r="A34">
        <f>IF(E34="","",ROW()-4)</f>
        <v>30</v>
      </c>
      <c r="B34" t="str">
        <v>Alice</v>
      </c>
      <c r="C34" s="1">
        <v>46265</v>
      </c>
      <c r="D34" t="str">
        <v>Terca</v>
      </c>
      <c r="E34" s="1">
        <v>46266</v>
      </c>
      <c r="F34" t="str">
        <v>Musculacao</v>
      </c>
      <c r="G34" t="str">
        <v>Treino de forca geral</v>
      </c>
      <c r="H34" t="str">
        <v>Treino de força geral com foco em técnica.</v>
      </c>
      <c r="I34">
        <v>50</v>
      </c>
      <c r="J34" t="str">
        <v>Moderada</v>
      </c>
      <c r="K34" t="str">
        <v>Planejado</v>
      </c>
    </row>
    <row r="35">
      <c r="A35">
        <f>IF(E35="","",ROW()-4)</f>
        <v>31</v>
      </c>
      <c r="B35" t="str">
        <v>Alice</v>
      </c>
      <c r="C35" s="1">
        <v>46265</v>
      </c>
      <c r="D35" t="str">
        <v>Quinta</v>
      </c>
      <c r="E35" s="1">
        <v>46268</v>
      </c>
      <c r="F35" t="str">
        <v>Cardio</v>
      </c>
      <c r="G35" t="str">
        <v>Eliptico</v>
      </c>
      <c r="H35" t="str">
        <v>Cardio moderado sem impacto.</v>
      </c>
      <c r="I35">
        <v>40</v>
      </c>
      <c r="J35" t="str">
        <v>Moderada</v>
      </c>
      <c r="K35" t="str">
        <v>Planejado</v>
      </c>
    </row>
    <row r="36">
      <c r="A36">
        <f>IF(E36="","",ROW()-4)</f>
        <v>32</v>
      </c>
      <c r="B36" t="str">
        <v>Alice</v>
      </c>
      <c r="C36" s="1">
        <v>46265</v>
      </c>
      <c r="D36" t="str">
        <v>Sabado</v>
      </c>
      <c r="E36" s="1">
        <v>46270</v>
      </c>
      <c r="F36" t="str">
        <v>Mobilidade</v>
      </c>
      <c r="G36" t="str">
        <v>Yoga leve</v>
      </c>
      <c r="H36" t="str">
        <v>Mobilidade e respiração.</v>
      </c>
      <c r="I36">
        <v>30</v>
      </c>
      <c r="J36" t="str">
        <v>Leve</v>
      </c>
      <c r="K36" t="str">
        <v>Planejado</v>
      </c>
    </row>
  </sheetData>
  <mergeCells count="2">
    <mergeCell ref="A2:H2"/>
    <mergeCell ref="A1:H1"/>
  </mergeCells>
  <pageMargins left="0.75" right="0.75" top="1" bottom="1" header="0.5" footer="0.5"/>
  <ignoredErrors>
    <ignoredError numberStoredAsText="1" sqref="A1:L50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04"/>
  <sheetViews>
    <sheetView workbookViewId="0" rightToLeft="0"/>
  </sheetViews>
  <sheetData>
    <row r="1">
      <c r="A1" t="str">
        <v>METAS</v>
      </c>
    </row>
    <row r="2">
      <c r="A2" t="str">
        <v>Metas por pessoa, ano e categoria.</v>
      </c>
    </row>
    <row r="4">
      <c r="A4" t="str">
        <v>Pessoa</v>
      </c>
      <c r="B4" t="str">
        <v>Ano</v>
      </c>
      <c r="C4" t="str">
        <v>Categoria</v>
      </c>
      <c r="D4" t="str">
        <v>Meta_Dias_Semana</v>
      </c>
      <c r="E4" t="str">
        <v>Meta_Dias_Ano</v>
      </c>
      <c r="F4" t="str">
        <v>Meta_Minutos_Semana</v>
      </c>
      <c r="G4" t="str">
        <v>Peso_Meta_kg</v>
      </c>
      <c r="H4" t="str">
        <v>Gordura_Meta_%</v>
      </c>
      <c r="I4" t="str">
        <v>Massa_Magra_Meta_kg</v>
      </c>
      <c r="J4" t="str">
        <v>Objetivo_Principal</v>
      </c>
      <c r="K4" t="str">
        <v>Observacoes</v>
      </c>
    </row>
    <row r="5">
      <c r="A5" t="str">
        <v>Diego</v>
      </c>
      <c r="B5">
        <v>2026</v>
      </c>
      <c r="C5" t="str">
        <v>Cardio</v>
      </c>
      <c r="D5">
        <v>2</v>
      </c>
      <c r="E5">
        <v>80</v>
      </c>
      <c r="F5">
        <v>90</v>
      </c>
      <c r="G5">
        <v>78</v>
      </c>
      <c r="H5">
        <v>20</v>
      </c>
      <c r="I5">
        <v>62</v>
      </c>
      <c r="J5" t="str">
        <v>Retomar cardio sem piorar lombar</v>
      </c>
      <c r="K5" t="str">
        <v>Prioridade em consistencia e segurança antes de volume.</v>
      </c>
    </row>
    <row r="6">
      <c r="A6" t="str">
        <v>Diego</v>
      </c>
      <c r="B6">
        <v>2026</v>
      </c>
      <c r="C6" t="str">
        <v>Musculacao</v>
      </c>
      <c r="D6">
        <v>3</v>
      </c>
      <c r="E6">
        <v>120</v>
      </c>
      <c r="F6">
        <v>150</v>
      </c>
      <c r="G6">
        <v>78</v>
      </c>
      <c r="H6">
        <v>20</v>
      </c>
      <c r="I6">
        <v>62</v>
      </c>
      <c r="J6" t="str">
        <v>Ganhar/Manter massa magra e definição</v>
      </c>
      <c r="K6" t="str">
        <v>Evitar cargas que agravem lombar.</v>
      </c>
    </row>
    <row r="7">
      <c r="A7" t="str">
        <v>Diego</v>
      </c>
      <c r="B7">
        <v>2026</v>
      </c>
      <c r="C7" t="str">
        <v>Mobilidade</v>
      </c>
      <c r="D7">
        <v>4</v>
      </c>
      <c r="E7">
        <v>160</v>
      </c>
      <c r="F7">
        <v>80</v>
      </c>
      <c r="G7">
        <v>78</v>
      </c>
      <c r="H7">
        <v>20</v>
      </c>
      <c r="I7">
        <v>62</v>
      </c>
      <c r="J7" t="str">
        <v>Reduzir recorrência de desconforto lombar</v>
      </c>
      <c r="K7" t="str">
        <v>Rotina curta e sustentável.</v>
      </c>
    </row>
    <row r="8">
      <c r="A8" t="str">
        <v>Alice</v>
      </c>
      <c r="B8">
        <v>2026</v>
      </c>
      <c r="C8" t="str">
        <v>Cardio</v>
      </c>
      <c r="D8">
        <v>3</v>
      </c>
      <c r="E8">
        <v>120</v>
      </c>
      <c r="F8">
        <v>120</v>
      </c>
      <c r="G8">
        <v>64</v>
      </c>
      <c r="H8">
        <v>25</v>
      </c>
      <c r="I8">
        <v>47</v>
      </c>
      <c r="J8" t="str">
        <v>Melhorar condicionamento e disposição</v>
      </c>
      <c r="K8" t="str">
        <v>Caminhada e elíptico como base.</v>
      </c>
    </row>
    <row r="9">
      <c r="A9" t="str">
        <v>Alice</v>
      </c>
      <c r="B9">
        <v>2026</v>
      </c>
      <c r="C9" t="str">
        <v>Musculacao</v>
      </c>
      <c r="D9">
        <v>2</v>
      </c>
      <c r="E9">
        <v>90</v>
      </c>
      <c r="F9">
        <v>100</v>
      </c>
      <c r="G9">
        <v>64</v>
      </c>
      <c r="H9">
        <v>25</v>
      </c>
      <c r="I9">
        <v>47</v>
      </c>
      <c r="J9" t="str">
        <v>Composição corporal saudável</v>
      </c>
      <c r="K9" t="str">
        <v>Força geral e técnica.</v>
      </c>
    </row>
    <row r="10">
      <c r="A10" t="str">
        <v>Alice</v>
      </c>
      <c r="B10">
        <v>2026</v>
      </c>
      <c r="C10" t="str">
        <v>Mobilidade</v>
      </c>
      <c r="D10">
        <v>2</v>
      </c>
      <c r="E10">
        <v>90</v>
      </c>
      <c r="F10">
        <v>60</v>
      </c>
      <c r="G10">
        <v>64</v>
      </c>
      <c r="H10">
        <v>25</v>
      </c>
      <c r="I10">
        <v>47</v>
      </c>
      <c r="J10" t="str">
        <v>Manter mobilidade e recuperação</v>
      </c>
      <c r="K10" t="str">
        <v>Yoga leve e alongamento.</v>
      </c>
    </row>
  </sheetData>
  <mergeCells count="2">
    <mergeCell ref="A2:H2"/>
    <mergeCell ref="A1:H1"/>
  </mergeCells>
  <pageMargins left="0.75" right="0.75" top="1" bottom="1" header="0.5" footer="0.5"/>
  <ignoredErrors>
    <ignoredError numberStoredAsText="1" sqref="A1:K20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304"/>
  <sheetViews>
    <sheetView workbookViewId="0" rightToLeft="0"/>
  </sheetViews>
  <sheetData>
    <row r="1">
      <c r="A1" t="str">
        <v>BIOIMPEDANCIA E MEDIDAS</v>
      </c>
    </row>
    <row r="2">
      <c r="A2" t="str">
        <v>Registro de evolucao corporal por pessoa e data.</v>
      </c>
    </row>
    <row r="4">
      <c r="A4" t="str">
        <v>Data</v>
      </c>
      <c r="B4" t="str">
        <v>Pessoa</v>
      </c>
      <c r="C4" t="str">
        <v>Peso_kg</v>
      </c>
      <c r="D4" t="str">
        <v>IMC</v>
      </c>
      <c r="E4" t="str">
        <v>Gordura_%</v>
      </c>
      <c r="F4" t="str">
        <v>Massa_Gorda_kg</v>
      </c>
      <c r="G4" t="str">
        <v>Massa_Magra_kg</v>
      </c>
      <c r="H4" t="str">
        <v>Massa_Muscular_kg</v>
      </c>
      <c r="I4" t="str">
        <v>Agua_%</v>
      </c>
      <c r="J4" t="str">
        <v>TMB_kcal</v>
      </c>
      <c r="K4" t="str">
        <v>Cintura_cm</v>
      </c>
      <c r="L4" t="str">
        <v>Abdomen_cm</v>
      </c>
      <c r="M4" t="str">
        <v>Quadril_cm</v>
      </c>
      <c r="N4" t="str">
        <v>Observacoes</v>
      </c>
    </row>
    <row r="5">
      <c r="A5" s="1">
        <v>46174</v>
      </c>
      <c r="B5" t="str">
        <v>Diego</v>
      </c>
      <c r="C5">
        <v>82.4</v>
      </c>
      <c r="D5">
        <f>IFERROR(C5/(VLOOKUP(B5,Pessoas!$A:$C,3,FALSE)^2),"")</f>
        <v>28.512110726643602</v>
      </c>
      <c r="E5">
        <v>23.8</v>
      </c>
      <c r="F5">
        <f>IFERROR(C5*E5/100,"")</f>
        <v>19.6112</v>
      </c>
      <c r="G5">
        <f>IFERROR(C5-F5,"")</f>
        <v>62.78880000000001</v>
      </c>
      <c r="H5">
        <v>37.8</v>
      </c>
      <c r="I5">
        <v>53</v>
      </c>
      <c r="J5">
        <v>1780</v>
      </c>
      <c r="K5">
        <v>93</v>
      </c>
      <c r="L5">
        <v>96</v>
      </c>
      <c r="M5">
        <v>100</v>
      </c>
      <c r="N5" t="str">
        <v>Base demonstrativa inicial.</v>
      </c>
    </row>
    <row r="6">
      <c r="A6" s="1">
        <v>46204</v>
      </c>
      <c r="B6" t="str">
        <v>Diego</v>
      </c>
      <c r="C6">
        <v>81.6</v>
      </c>
      <c r="D6">
        <f>IFERROR(C6/(VLOOKUP(B6,Pessoas!$A:$C,3,FALSE)^2),"")</f>
        <v>28.23529411764706</v>
      </c>
      <c r="E6">
        <v>23</v>
      </c>
      <c r="F6">
        <f>IFERROR(C6*E6/100,"")</f>
        <v>18.768</v>
      </c>
      <c r="G6">
        <f>IFERROR(C6-F6,"")</f>
        <v>62.831999999999994</v>
      </c>
      <c r="H6">
        <v>38.2</v>
      </c>
      <c r="I6">
        <v>53.5</v>
      </c>
      <c r="J6">
        <v>1795</v>
      </c>
      <c r="K6">
        <v>92</v>
      </c>
      <c r="L6">
        <v>94</v>
      </c>
      <c r="M6">
        <v>99</v>
      </c>
      <c r="N6" t="str">
        <v>Melhora leve em medidas.</v>
      </c>
    </row>
    <row r="7">
      <c r="A7" s="1">
        <v>46242</v>
      </c>
      <c r="B7" t="str">
        <v>Diego</v>
      </c>
      <c r="C7">
        <v>81.2</v>
      </c>
      <c r="D7">
        <f>IFERROR(C7/(VLOOKUP(B7,Pessoas!$A:$C,3,FALSE)^2),"")</f>
        <v>28.09688581314879</v>
      </c>
      <c r="E7">
        <v>22.6</v>
      </c>
      <c r="F7">
        <f>IFERROR(C7*E7/100,"")</f>
        <v>18.351200000000002</v>
      </c>
      <c r="G7">
        <f>IFERROR(C7-F7,"")</f>
        <v>62.8488</v>
      </c>
      <c r="H7">
        <v>38.3</v>
      </c>
      <c r="I7">
        <v>53.7</v>
      </c>
      <c r="J7">
        <v>1800</v>
      </c>
      <c r="K7">
        <v>91</v>
      </c>
      <c r="L7">
        <v>93</v>
      </c>
      <c r="M7">
        <v>99</v>
      </c>
      <c r="N7" t="str">
        <v>Acompanhar impacto da pausa por lombalgia.</v>
      </c>
    </row>
    <row r="8">
      <c r="A8" s="1">
        <v>46174</v>
      </c>
      <c r="B8" t="str">
        <v>Alice</v>
      </c>
      <c r="C8">
        <v>68.2</v>
      </c>
      <c r="D8">
        <f>IFERROR(C8/(VLOOKUP(B8,Pessoas!$A:$C,3,FALSE)^2),"")</f>
        <v>23.59861591695502</v>
      </c>
      <c r="E8">
        <v>29.5</v>
      </c>
      <c r="F8">
        <f>IFERROR(C8*E8/100,"")</f>
        <v>20.119</v>
      </c>
      <c r="G8">
        <f>IFERROR(C8-F8,"")</f>
        <v>48.081</v>
      </c>
      <c r="H8">
        <v>28.5</v>
      </c>
      <c r="I8">
        <v>50</v>
      </c>
      <c r="J8">
        <v>1420</v>
      </c>
      <c r="K8">
        <v>78</v>
      </c>
      <c r="L8">
        <v>84</v>
      </c>
      <c r="M8">
        <v>101</v>
      </c>
      <c r="N8" t="str">
        <v>Base demonstrativa inicial.</v>
      </c>
    </row>
    <row r="9">
      <c r="A9" s="1">
        <v>46204</v>
      </c>
      <c r="B9" t="str">
        <v>Alice</v>
      </c>
      <c r="C9">
        <v>67.8</v>
      </c>
      <c r="D9">
        <f>IFERROR(C9/(VLOOKUP(B9,Pessoas!$A:$C,3,FALSE)^2),"")</f>
        <v>23.46020761245675</v>
      </c>
      <c r="E9">
        <v>29</v>
      </c>
      <c r="F9">
        <f>IFERROR(C9*E9/100,"")</f>
        <v>19.662</v>
      </c>
      <c r="G9">
        <f>IFERROR(C9-F9,"")</f>
        <v>48.138</v>
      </c>
      <c r="H9">
        <v>28.8</v>
      </c>
      <c r="I9">
        <v>50.5</v>
      </c>
      <c r="J9">
        <v>1430</v>
      </c>
      <c r="K9">
        <v>77</v>
      </c>
      <c r="L9">
        <v>83</v>
      </c>
      <c r="M9">
        <v>100</v>
      </c>
      <c r="N9" t="str">
        <v>Rotina mais constante.</v>
      </c>
    </row>
    <row r="10">
      <c r="A10" s="1">
        <v>46242</v>
      </c>
      <c r="B10" t="str">
        <v>Alice</v>
      </c>
      <c r="C10">
        <v>67.4</v>
      </c>
      <c r="D10">
        <f>IFERROR(C10/(VLOOKUP(B10,Pessoas!$A:$C,3,FALSE)^2),"")</f>
        <v>23.321799307958482</v>
      </c>
      <c r="E10">
        <v>28.6</v>
      </c>
      <c r="F10">
        <f>IFERROR(C10*E10/100,"")</f>
        <v>19.276400000000002</v>
      </c>
      <c r="G10">
        <f>IFERROR(C10-F10,"")</f>
        <v>48.1236</v>
      </c>
      <c r="H10">
        <v>29</v>
      </c>
      <c r="I10">
        <v>50.8</v>
      </c>
      <c r="J10">
        <v>1440</v>
      </c>
      <c r="K10">
        <v>76</v>
      </c>
      <c r="L10">
        <v>82</v>
      </c>
      <c r="M10">
        <v>100</v>
      </c>
      <c r="N10" t="str">
        <v>Evolução gradual.</v>
      </c>
    </row>
  </sheetData>
  <mergeCells count="2">
    <mergeCell ref="A2:H2"/>
    <mergeCell ref="A1:H1"/>
  </mergeCells>
  <pageMargins left="0.75" right="0.75" top="1" bottom="1" header="0.5" footer="0.5"/>
  <ignoredErrors>
    <ignoredError numberStoredAsText="1" sqref="A1:N30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504"/>
  <sheetViews>
    <sheetView workbookViewId="0" rightToLeft="0"/>
  </sheetViews>
  <sheetData>
    <row r="1">
      <c r="A1" t="str">
        <v>SINTOMAS LOMBAR</v>
      </c>
    </row>
    <row r="2">
      <c r="A2" t="str">
        <v>Controle de dor, dormencia e gatilhos. Pensado para acompanhar retorno seguro aos treinos.</v>
      </c>
    </row>
    <row r="4">
      <c r="A4" t="str">
        <v>Data</v>
      </c>
      <c r="B4" t="str">
        <v>Pessoa</v>
      </c>
      <c r="C4" t="str">
        <v>Dor_Lombar_0a10</v>
      </c>
      <c r="D4" t="str">
        <v>Dor_Gluteo_0a10</v>
      </c>
      <c r="E4" t="str">
        <v>Dormencia_Pe</v>
      </c>
      <c r="F4" t="str">
        <v>Perda_Forca</v>
      </c>
      <c r="G4" t="str">
        <v>Atividade_Relacionada</v>
      </c>
      <c r="H4" t="str">
        <v>Gatilho_Percebido</v>
      </c>
      <c r="I4" t="str">
        <v>Medicacao</v>
      </c>
      <c r="J4" t="str">
        <v>Status_Sintoma</v>
      </c>
      <c r="K4" t="str">
        <v>Observacoes</v>
      </c>
    </row>
    <row r="5">
      <c r="A5" s="1">
        <v>46174</v>
      </c>
      <c r="B5" t="str">
        <v>Diego</v>
      </c>
      <c r="C5">
        <v>1</v>
      </c>
      <c r="D5">
        <v>0</v>
      </c>
      <c r="E5" t="str">
        <v>Nao</v>
      </c>
      <c r="F5" t="str">
        <v>Nao</v>
      </c>
      <c r="G5" t="str">
        <v>Mobilidade de quadril</v>
      </c>
      <c r="H5" t="str">
        <v>Rigidez ao acordar</v>
      </c>
      <c r="I5" t="str">
        <v>Nao</v>
      </c>
      <c r="J5" t="str">
        <v>Leve</v>
      </c>
      <c r="K5" t="str">
        <v>Sem limitação relevante.</v>
      </c>
    </row>
    <row r="6">
      <c r="A6" s="1">
        <v>46200</v>
      </c>
      <c r="B6" t="str">
        <v>Diego</v>
      </c>
      <c r="C6">
        <v>2</v>
      </c>
      <c r="D6">
        <v>1</v>
      </c>
      <c r="E6" t="str">
        <v>Nao</v>
      </c>
      <c r="F6" t="str">
        <v>Nao</v>
      </c>
      <c r="G6" t="str">
        <v>Corrida leve</v>
      </c>
      <c r="H6" t="str">
        <v>Retorno a corrida</v>
      </c>
      <c r="I6" t="str">
        <v>Nao</v>
      </c>
      <c r="J6" t="str">
        <v>Leve</v>
      </c>
      <c r="K6" t="str">
        <v>Monitorar resposta no dia seguinte.</v>
      </c>
    </row>
    <row r="7">
      <c r="A7" s="1">
        <v>46230</v>
      </c>
      <c r="B7" t="str">
        <v>Diego</v>
      </c>
      <c r="C7">
        <v>3</v>
      </c>
      <c r="D7">
        <v>2</v>
      </c>
      <c r="E7" t="str">
        <v>Nao</v>
      </c>
      <c r="F7" t="str">
        <v>Nao</v>
      </c>
      <c r="G7" t="str">
        <v>Corrida leve</v>
      </c>
      <c r="H7" t="str">
        <v>Aumento de duração</v>
      </c>
      <c r="I7" t="str">
        <v>Nao</v>
      </c>
      <c r="J7" t="str">
        <v>Leve</v>
      </c>
      <c r="K7" t="str">
        <v>Desconforto no final do treino.</v>
      </c>
    </row>
    <row r="8">
      <c r="A8" s="1">
        <v>46236</v>
      </c>
      <c r="B8" t="str">
        <v>Diego</v>
      </c>
      <c r="C8">
        <v>4</v>
      </c>
      <c r="D8">
        <v>3</v>
      </c>
      <c r="E8" t="str">
        <v>Sim</v>
      </c>
      <c r="F8" t="str">
        <v>Nao</v>
      </c>
      <c r="G8" t="str">
        <v>Corrida leve</v>
      </c>
      <c r="H8" t="str">
        <v>Corrida/caminhada</v>
      </c>
      <c r="I8" t="str">
        <v>Pregabalina conforme prescricao</v>
      </c>
      <c r="J8" t="str">
        <v>Moderada</v>
      </c>
      <c r="K8" t="str">
        <v>Dormência igual, sem perda de força relatada.</v>
      </c>
    </row>
    <row r="9">
      <c r="A9" s="1">
        <v>46239</v>
      </c>
      <c r="B9" t="str">
        <v>Diego</v>
      </c>
      <c r="C9">
        <v>6</v>
      </c>
      <c r="D9">
        <v>5</v>
      </c>
      <c r="E9" t="str">
        <v>Sim</v>
      </c>
      <c r="F9" t="str">
        <v>Nao</v>
      </c>
      <c r="G9" t="str">
        <v>Descanso</v>
      </c>
      <c r="H9" t="str">
        <v>Crise de lombalgia</v>
      </c>
      <c r="I9" t="str">
        <v>Pregabalina conforme prescricao</v>
      </c>
      <c r="J9" t="str">
        <v>Crise</v>
      </c>
      <c r="K9" t="str">
        <v>Pausa de treino; evitar impacto.</v>
      </c>
    </row>
    <row r="10">
      <c r="A10" s="1">
        <v>46243</v>
      </c>
      <c r="B10" t="str">
        <v>Diego</v>
      </c>
      <c r="C10">
        <v>5</v>
      </c>
      <c r="D10">
        <v>4</v>
      </c>
      <c r="E10" t="str">
        <v>Sim</v>
      </c>
      <c r="F10" t="str">
        <v>Nao</v>
      </c>
      <c r="G10" t="str">
        <v>Descanso</v>
      </c>
      <c r="H10" t="str">
        <v>Dor irradiada para glúteo</v>
      </c>
      <c r="I10" t="str">
        <v>Pregabalina conforme prescricao</v>
      </c>
      <c r="J10" t="str">
        <v>Moderada</v>
      </c>
      <c r="K10" t="str">
        <v>Retorno gradual somente quando caminhar sem mancar.</v>
      </c>
    </row>
    <row r="11">
      <c r="A11" s="1">
        <v>46243</v>
      </c>
      <c r="B11" t="str">
        <v>Alice</v>
      </c>
      <c r="C11">
        <v>0</v>
      </c>
      <c r="D11">
        <v>0</v>
      </c>
      <c r="E11" t="str">
        <v>Nao</v>
      </c>
      <c r="F11" t="str">
        <v>Nao</v>
      </c>
      <c r="G11" t="str">
        <v>Yoga leve</v>
      </c>
      <c r="H11" t="str">
        <v>Sem queixas</v>
      </c>
      <c r="I11" t="str">
        <v>Nao</v>
      </c>
      <c r="J11" t="str">
        <v>Sem dor</v>
      </c>
      <c r="K11" t="str">
        <v>Registro preventivo.</v>
      </c>
    </row>
  </sheetData>
  <mergeCells count="2">
    <mergeCell ref="A2:H2"/>
    <mergeCell ref="A1:H1"/>
  </mergeCells>
  <pageMargins left="0.75" right="0.75" top="1" bottom="1" header="0.5" footer="0.5"/>
  <ignoredErrors>
    <ignoredError numberStoredAsText="1" sqref="A1:K50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504"/>
  <sheetViews>
    <sheetView workbookViewId="0" rightToLeft="0"/>
  </sheetViews>
  <sheetData>
    <row r="1">
      <c r="A1" t="str">
        <v>EXAMES</v>
      </c>
    </row>
    <row r="2">
      <c r="A2" t="str">
        <v>Controle de exames laboratoriais e indicadores de saude.</v>
      </c>
    </row>
    <row r="4">
      <c r="A4" t="str">
        <v>Data_Exame</v>
      </c>
      <c r="B4" t="str">
        <v>Pessoa</v>
      </c>
      <c r="C4" t="str">
        <v>Exame</v>
      </c>
      <c r="D4" t="str">
        <v>Resultado</v>
      </c>
      <c r="E4" t="str">
        <v>Unidade</v>
      </c>
      <c r="F4" t="str">
        <v>Referencia_Min</v>
      </c>
      <c r="G4" t="str">
        <v>Referencia_Max</v>
      </c>
      <c r="H4" t="str">
        <v>Status</v>
      </c>
      <c r="I4" t="str">
        <v>Proxima_Revisao</v>
      </c>
      <c r="J4" t="str">
        <v>Medico_ou_Lab</v>
      </c>
      <c r="K4" t="str">
        <v>Observacoes</v>
      </c>
    </row>
    <row r="5">
      <c r="A5" s="1">
        <v>46218</v>
      </c>
      <c r="B5" t="str">
        <v>Diego</v>
      </c>
      <c r="C5" t="str">
        <v>Glicemia de jejum</v>
      </c>
      <c r="D5">
        <v>91</v>
      </c>
      <c r="E5" t="str">
        <v>mg/dL</v>
      </c>
      <c r="F5">
        <v>70</v>
      </c>
      <c r="G5">
        <v>99</v>
      </c>
      <c r="H5" t="str">
        <v>Normal</v>
      </c>
      <c r="I5" s="1">
        <v>46402</v>
      </c>
      <c r="J5" t="str">
        <v>Lab demonstrativo</v>
      </c>
      <c r="K5" t="str">
        <v>Valor simulado realista.</v>
      </c>
    </row>
    <row r="6">
      <c r="A6" s="1">
        <v>46218</v>
      </c>
      <c r="B6" t="str">
        <v>Diego</v>
      </c>
      <c r="C6" t="str">
        <v>Hemoglobina glicada</v>
      </c>
      <c r="D6">
        <v>5.3</v>
      </c>
      <c r="E6" t="str">
        <v>%</v>
      </c>
      <c r="F6">
        <v>4</v>
      </c>
      <c r="G6">
        <v>5.6</v>
      </c>
      <c r="H6" t="str">
        <v>Normal</v>
      </c>
      <c r="I6" s="1">
        <v>46402</v>
      </c>
      <c r="J6" t="str">
        <v>Lab demonstrativo</v>
      </c>
      <c r="K6" t="str">
        <v>Valor simulado realista.</v>
      </c>
    </row>
    <row r="7">
      <c r="A7" s="1">
        <v>46218</v>
      </c>
      <c r="B7" t="str">
        <v>Diego</v>
      </c>
      <c r="C7" t="str">
        <v>Colesterol total</v>
      </c>
      <c r="D7">
        <v>184</v>
      </c>
      <c r="E7" t="str">
        <v>mg/dL</v>
      </c>
      <c r="F7">
        <v>0</v>
      </c>
      <c r="G7">
        <v>190</v>
      </c>
      <c r="H7" t="str">
        <v>Normal</v>
      </c>
      <c r="I7" s="1">
        <v>46402</v>
      </c>
      <c r="J7" t="str">
        <v>Lab demonstrativo</v>
      </c>
      <c r="K7" t="str">
        <v>Valor simulado realista.</v>
      </c>
    </row>
    <row r="8">
      <c r="A8" s="1">
        <v>46218</v>
      </c>
      <c r="B8" t="str">
        <v>Diego</v>
      </c>
      <c r="C8" t="str">
        <v>LDL</v>
      </c>
      <c r="D8">
        <v>112</v>
      </c>
      <c r="E8" t="str">
        <v>mg/dL</v>
      </c>
      <c r="F8">
        <v>0</v>
      </c>
      <c r="G8">
        <v>130</v>
      </c>
      <c r="H8" t="str">
        <v>Normal</v>
      </c>
      <c r="I8" s="1">
        <v>46402</v>
      </c>
      <c r="J8" t="str">
        <v>Lab demonstrativo</v>
      </c>
      <c r="K8" t="str">
        <v>Valor simulado realista.</v>
      </c>
    </row>
    <row r="9">
      <c r="A9" s="1">
        <v>46218</v>
      </c>
      <c r="B9" t="str">
        <v>Diego</v>
      </c>
      <c r="C9" t="str">
        <v>Vitamina D</v>
      </c>
      <c r="D9">
        <v>31</v>
      </c>
      <c r="E9" t="str">
        <v>ng/mL</v>
      </c>
      <c r="F9">
        <v>30</v>
      </c>
      <c r="G9">
        <v>100</v>
      </c>
      <c r="H9" t="str">
        <v>Normal</v>
      </c>
      <c r="I9" s="1">
        <v>46402</v>
      </c>
      <c r="J9" t="str">
        <v>Lab demonstrativo</v>
      </c>
      <c r="K9" t="str">
        <v>Valor simulado realista.</v>
      </c>
    </row>
    <row r="10">
      <c r="A10" s="1">
        <v>46221</v>
      </c>
      <c r="B10" t="str">
        <v>Alice</v>
      </c>
      <c r="C10" t="str">
        <v>Glicemia de jejum</v>
      </c>
      <c r="D10">
        <v>88</v>
      </c>
      <c r="E10" t="str">
        <v>mg/dL</v>
      </c>
      <c r="F10">
        <v>70</v>
      </c>
      <c r="G10">
        <v>99</v>
      </c>
      <c r="H10" t="str">
        <v>Normal</v>
      </c>
      <c r="I10" s="1">
        <v>46405</v>
      </c>
      <c r="J10" t="str">
        <v>Lab demonstrativo</v>
      </c>
      <c r="K10" t="str">
        <v>Valor simulado realista.</v>
      </c>
    </row>
    <row r="11">
      <c r="A11" s="1">
        <v>46221</v>
      </c>
      <c r="B11" t="str">
        <v>Alice</v>
      </c>
      <c r="C11" t="str">
        <v>Hemoglobina glicada</v>
      </c>
      <c r="D11">
        <v>5.1</v>
      </c>
      <c r="E11" t="str">
        <v>%</v>
      </c>
      <c r="F11">
        <v>4</v>
      </c>
      <c r="G11">
        <v>5.6</v>
      </c>
      <c r="H11" t="str">
        <v>Normal</v>
      </c>
      <c r="I11" s="1">
        <v>46405</v>
      </c>
      <c r="J11" t="str">
        <v>Lab demonstrativo</v>
      </c>
      <c r="K11" t="str">
        <v>Valor simulado realista.</v>
      </c>
    </row>
    <row r="12">
      <c r="A12" s="1">
        <v>46221</v>
      </c>
      <c r="B12" t="str">
        <v>Alice</v>
      </c>
      <c r="C12" t="str">
        <v>Colesterol total</v>
      </c>
      <c r="D12">
        <v>176</v>
      </c>
      <c r="E12" t="str">
        <v>mg/dL</v>
      </c>
      <c r="F12">
        <v>0</v>
      </c>
      <c r="G12">
        <v>190</v>
      </c>
      <c r="H12" t="str">
        <v>Normal</v>
      </c>
      <c r="I12" s="1">
        <v>46405</v>
      </c>
      <c r="J12" t="str">
        <v>Lab demonstrativo</v>
      </c>
      <c r="K12" t="str">
        <v>Valor simulado realista.</v>
      </c>
    </row>
    <row r="13">
      <c r="A13" s="1">
        <v>46221</v>
      </c>
      <c r="B13" t="str">
        <v>Alice</v>
      </c>
      <c r="C13" t="str">
        <v>TSH</v>
      </c>
      <c r="D13">
        <v>2.1</v>
      </c>
      <c r="E13" t="str">
        <v>uUI/mL</v>
      </c>
      <c r="F13">
        <v>0.4</v>
      </c>
      <c r="G13">
        <v>4</v>
      </c>
      <c r="H13" t="str">
        <v>Normal</v>
      </c>
      <c r="I13" s="1">
        <v>46405</v>
      </c>
      <c r="J13" t="str">
        <v>Lab demonstrativo</v>
      </c>
      <c r="K13" t="str">
        <v>Valor simulado realista.</v>
      </c>
    </row>
    <row r="14">
      <c r="A14" s="1">
        <v>46221</v>
      </c>
      <c r="B14" t="str">
        <v>Alice</v>
      </c>
      <c r="C14" t="str">
        <v>Vitamina D</v>
      </c>
      <c r="D14">
        <v>28</v>
      </c>
      <c r="E14" t="str">
        <v>ng/mL</v>
      </c>
      <c r="F14">
        <v>30</v>
      </c>
      <c r="G14">
        <v>100</v>
      </c>
      <c r="H14" t="str">
        <v>Atencao</v>
      </c>
      <c r="I14" s="1">
        <v>46405</v>
      </c>
      <c r="J14" t="str">
        <v>Lab demonstrativo</v>
      </c>
      <c r="K14" t="str">
        <v>Valor simulado realista; acompanhar com profissional.</v>
      </c>
    </row>
  </sheetData>
  <mergeCells count="2">
    <mergeCell ref="A2:H2"/>
    <mergeCell ref="A1:H1"/>
  </mergeCells>
  <pageMargins left="0.75" right="0.75" top="1" bottom="1" header="0.5" footer="0.5"/>
  <ignoredErrors>
    <ignoredError numberStoredAsText="1" sqref="A1:K50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4"/>
  <sheetViews>
    <sheetView workbookViewId="0" rightToLeft="0"/>
  </sheetViews>
  <sheetData>
    <row r="1">
      <c r="A1" t="str">
        <v>HABITOS - CATALOGO</v>
      </c>
    </row>
    <row r="2">
      <c r="A2" t="str">
        <v>Cadastro dos habitos diarios acompanhados. O dashboard HTML le esta aba para montar o checklist diario.</v>
      </c>
    </row>
    <row r="4">
      <c r="A4" t="str">
        <v>Pessoa</v>
      </c>
      <c r="B4" t="str">
        <v>Habito</v>
      </c>
      <c r="C4" t="str">
        <v>Categoria</v>
      </c>
      <c r="D4" t="str">
        <v>Meta_Diaria</v>
      </c>
      <c r="E4" t="str">
        <v>Unidade</v>
      </c>
      <c r="F4" t="str">
        <v>Horario_Sugerido</v>
      </c>
      <c r="G4" t="str">
        <v>Peso_Pontos</v>
      </c>
      <c r="H4" t="str">
        <v>Ativo</v>
      </c>
      <c r="I4" t="str">
        <v>Observacoes</v>
      </c>
    </row>
    <row r="5">
      <c r="A5" t="str">
        <v>Diego</v>
      </c>
      <c r="B5" t="str">
        <v>Meta de agua</v>
      </c>
      <c r="C5" t="str">
        <v>Hidratacao</v>
      </c>
      <c r="D5">
        <v>3000</v>
      </c>
      <c r="E5" t="str">
        <v>ml</v>
      </c>
      <c r="F5" t="str">
        <v>Ao longo do dia</v>
      </c>
      <c r="G5">
        <v>20</v>
      </c>
      <c r="H5" t="str">
        <v>Sim</v>
      </c>
      <c r="I5" t="str">
        <v>Meta de ~3L/dia, distribuida entre as refeicoes e treinos.</v>
      </c>
    </row>
    <row r="6">
      <c r="A6" t="str">
        <v>Diego</v>
      </c>
      <c r="B6" t="str">
        <v>Meta de estudo</v>
      </c>
      <c r="C6" t="str">
        <v>Estudo</v>
      </c>
      <c r="D6">
        <v>30</v>
      </c>
      <c r="E6" t="str">
        <v>min</v>
      </c>
      <c r="F6" t="str">
        <v>Noite</v>
      </c>
      <c r="G6">
        <v>15</v>
      </c>
      <c r="H6" t="str">
        <v>Sim</v>
      </c>
      <c r="I6" t="str">
        <v>Leitura/curso sobre investimentos e financas pessoais.</v>
      </c>
    </row>
    <row r="7">
      <c r="A7" t="str">
        <v>Diego</v>
      </c>
      <c r="B7" t="str">
        <v>Meta de remedios</v>
      </c>
      <c r="C7" t="str">
        <v>Saude</v>
      </c>
      <c r="D7">
        <v>1</v>
      </c>
      <c r="E7" t="str">
        <v>dose</v>
      </c>
      <c r="F7" t="str">
        <v>Conforme prescricao</v>
      </c>
      <c r="G7">
        <v>25</v>
      </c>
      <c r="H7" t="str">
        <v>Sim</v>
      </c>
      <c r="I7" t="str">
        <v>Pregabalina conforme orientacao medica (controle lombar).</v>
      </c>
    </row>
    <row r="8">
      <c r="A8" t="str">
        <v>Diego</v>
      </c>
      <c r="B8" t="str">
        <v>Meta de sono</v>
      </c>
      <c r="C8" t="str">
        <v>Sono</v>
      </c>
      <c r="D8">
        <v>480</v>
      </c>
      <c r="E8" t="str">
        <v>min</v>
      </c>
      <c r="F8" t="str">
        <v>Noite</v>
      </c>
      <c r="G8">
        <v>20</v>
      </c>
      <c r="H8" t="str">
        <v>Sim</v>
      </c>
      <c r="I8" t="str">
        <v>Meta de 7-8h de sono para recuperacao e controle da lombalgia.</v>
      </c>
    </row>
    <row r="9">
      <c r="A9" t="str">
        <v>Diego</v>
      </c>
      <c r="B9" t="str">
        <v>Meta alimentar</v>
      </c>
      <c r="C9" t="str">
        <v>Alimentacao</v>
      </c>
      <c r="D9">
        <v>1</v>
      </c>
      <c r="E9" t="str">
        <v>plano</v>
      </c>
      <c r="F9" t="str">
        <v>Refeicoes do dia</v>
      </c>
      <c r="G9">
        <v>20</v>
      </c>
      <c r="H9" t="str">
        <v>Sim</v>
      </c>
      <c r="I9" t="str">
        <v>Seguir plano alimentar do dia, evitando exageros e ultraprocessados.</v>
      </c>
    </row>
    <row r="10">
      <c r="A10" t="str">
        <v>Alice</v>
      </c>
      <c r="B10" t="str">
        <v>Meta de agua</v>
      </c>
      <c r="C10" t="str">
        <v>Hidratacao</v>
      </c>
      <c r="D10">
        <v>2500</v>
      </c>
      <c r="E10" t="str">
        <v>ml</v>
      </c>
      <c r="F10" t="str">
        <v>Ao longo do dia</v>
      </c>
      <c r="G10">
        <v>20</v>
      </c>
      <c r="H10" t="str">
        <v>Sim</v>
      </c>
      <c r="I10" t="str">
        <v>Meta de ~2,5L/dia.</v>
      </c>
    </row>
    <row r="11">
      <c r="A11" t="str">
        <v>Alice</v>
      </c>
      <c r="B11" t="str">
        <v>Meta de estudo</v>
      </c>
      <c r="C11" t="str">
        <v>Estudo</v>
      </c>
      <c r="D11">
        <v>30</v>
      </c>
      <c r="E11" t="str">
        <v>min</v>
      </c>
      <c r="F11" t="str">
        <v>Noite</v>
      </c>
      <c r="G11">
        <v>15</v>
      </c>
      <c r="H11" t="str">
        <v>Sim</v>
      </c>
      <c r="I11" t="str">
        <v>Estudo de idiomas ou curso profissional.</v>
      </c>
    </row>
    <row r="12">
      <c r="A12" t="str">
        <v>Alice</v>
      </c>
      <c r="B12" t="str">
        <v>Meta de remedios</v>
      </c>
      <c r="C12" t="str">
        <v>Saude</v>
      </c>
      <c r="D12">
        <v>1</v>
      </c>
      <c r="E12" t="str">
        <v>dose</v>
      </c>
      <c r="F12" t="str">
        <v>Manha</v>
      </c>
      <c r="G12">
        <v>20</v>
      </c>
      <c r="H12" t="str">
        <v>Sim</v>
      </c>
      <c r="I12" t="str">
        <v>Suplementacao de Vitamina D (acompanhar exame de referencia).</v>
      </c>
    </row>
    <row r="13">
      <c r="A13" t="str">
        <v>Alice</v>
      </c>
      <c r="B13" t="str">
        <v>Meta de sono</v>
      </c>
      <c r="C13" t="str">
        <v>Sono</v>
      </c>
      <c r="D13">
        <v>480</v>
      </c>
      <c r="E13" t="str">
        <v>min</v>
      </c>
      <c r="F13" t="str">
        <v>Noite</v>
      </c>
      <c r="G13">
        <v>20</v>
      </c>
      <c r="H13" t="str">
        <v>Sim</v>
      </c>
      <c r="I13" t="str">
        <v>Meta de 7-8h de sono.</v>
      </c>
    </row>
    <row r="14">
      <c r="A14" t="str">
        <v>Alice</v>
      </c>
      <c r="B14" t="str">
        <v>Meta alimentar</v>
      </c>
      <c r="C14" t="str">
        <v>Alimentacao</v>
      </c>
      <c r="D14">
        <v>1</v>
      </c>
      <c r="E14" t="str">
        <v>plano</v>
      </c>
      <c r="F14" t="str">
        <v>Refeicoes do dia</v>
      </c>
      <c r="G14">
        <v>25</v>
      </c>
      <c r="H14" t="str">
        <v>Sim</v>
      </c>
      <c r="I14" t="str">
        <v>Seguir plano alimentar saudavel do dia.</v>
      </c>
    </row>
  </sheetData>
  <mergeCells count="2">
    <mergeCell ref="A1:I1"/>
    <mergeCell ref="A2:I2"/>
  </mergeCells>
  <pageMargins left="0.75" right="0.75" top="1" bottom="1" header="0.5" footer="0.5"/>
  <ignoredErrors>
    <ignoredError numberStoredAsText="1" sqref="A1:I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9"/>
  <sheetViews>
    <sheetView workbookViewId="0" rightToLeft="0"/>
  </sheetViews>
  <cols>
    <col min="1" max="1" width="12.83203125" customWidth="1"/>
    <col min="2" max="2" width="10.83203125" customWidth="1"/>
    <col min="3" max="3" width="18.83203125" customWidth="1"/>
    <col min="4" max="4" width="14.83203125" customWidth="1"/>
    <col min="5" max="5" width="13.83203125" customWidth="1"/>
    <col min="6" max="6" width="10.83203125" customWidth="1"/>
    <col min="7" max="7" width="12.83203125" customWidth="1"/>
    <col min="8" max="8" width="15.83203125" customWidth="1"/>
    <col min="9" max="9" width="13.83203125" customWidth="1"/>
    <col min="10" max="10" width="38.83203125" customWidth="1"/>
  </cols>
  <sheetData>
    <row r="1">
      <c r="A1" t="str">
        <v>HABITOS - REGISTRO DIARIO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Registro diario de execucao dos habitos. Marque Sim/Nao em Realizado. O dashboard HTML atualiza esta aba automaticamente ao marcar o checklist.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Data</v>
      </c>
      <c r="B3" t="str">
        <v>Pessoa</v>
      </c>
      <c r="C3" t="str">
        <v>Habito</v>
      </c>
      <c r="D3" t="str">
        <v>Categoria</v>
      </c>
      <c r="E3" t="str">
        <v>Meta_Diaria</v>
      </c>
      <c r="F3" t="str">
        <v>Unidade</v>
      </c>
      <c r="G3" t="str">
        <v>Realizado</v>
      </c>
      <c r="H3" t="str">
        <v>Valor_Realizado</v>
      </c>
      <c r="I3" t="str">
        <v>Pontos_Obtidos</v>
      </c>
      <c r="J3" t="str">
        <v>Observacoes</v>
      </c>
    </row>
    <row r="4">
      <c r="A4" s="2">
        <v>46234</v>
      </c>
      <c r="B4" t="str">
        <v>Alice</v>
      </c>
      <c r="C4" t="str">
        <v>Meta alimentar</v>
      </c>
      <c r="D4" t="str">
        <v>Alimentacao</v>
      </c>
      <c r="E4">
        <v>1</v>
      </c>
      <c r="F4" t="str">
        <v>plano</v>
      </c>
      <c r="G4" t="str">
        <v>Sim</v>
      </c>
      <c r="H4">
        <v>1</v>
      </c>
      <c r="I4">
        <v>25</v>
      </c>
      <c r="J4" t="str">
        <v/>
      </c>
    </row>
    <row r="5">
      <c r="A5" s="2">
        <v>46234</v>
      </c>
      <c r="B5" t="str">
        <v>Alice</v>
      </c>
      <c r="C5" t="str">
        <v>Meta de agua</v>
      </c>
      <c r="D5" t="str">
        <v>Hidratacao</v>
      </c>
      <c r="E5">
        <v>2500</v>
      </c>
      <c r="F5" t="str">
        <v>ml</v>
      </c>
      <c r="G5" t="str">
        <v>Sim</v>
      </c>
      <c r="H5">
        <v>2500</v>
      </c>
      <c r="I5">
        <v>20</v>
      </c>
      <c r="J5" t="str">
        <v/>
      </c>
    </row>
    <row r="6">
      <c r="A6" s="2">
        <v>46234</v>
      </c>
      <c r="B6" t="str">
        <v>Alice</v>
      </c>
      <c r="C6" t="str">
        <v>Meta de estudo</v>
      </c>
      <c r="D6" t="str">
        <v>Estudo</v>
      </c>
      <c r="E6">
        <v>30</v>
      </c>
      <c r="F6" t="str">
        <v>min</v>
      </c>
      <c r="G6" t="str">
        <v>Sim</v>
      </c>
      <c r="H6">
        <v>30</v>
      </c>
      <c r="I6">
        <v>15</v>
      </c>
      <c r="J6" t="str">
        <v/>
      </c>
    </row>
    <row r="7">
      <c r="A7" s="2">
        <v>46234</v>
      </c>
      <c r="B7" t="str">
        <v>Alice</v>
      </c>
      <c r="C7" t="str">
        <v>Meta de remedios</v>
      </c>
      <c r="D7" t="str">
        <v>Saude</v>
      </c>
      <c r="E7">
        <v>1</v>
      </c>
      <c r="F7" t="str">
        <v>dose</v>
      </c>
      <c r="G7" t="str">
        <v>Sim</v>
      </c>
      <c r="H7">
        <v>1</v>
      </c>
      <c r="I7">
        <v>20</v>
      </c>
      <c r="J7" t="str">
        <v/>
      </c>
    </row>
    <row r="8">
      <c r="A8" s="2">
        <v>46234</v>
      </c>
      <c r="B8" t="str">
        <v>Alice</v>
      </c>
      <c r="C8" t="str">
        <v>Meta de sono</v>
      </c>
      <c r="D8" t="str">
        <v>Sono</v>
      </c>
      <c r="E8">
        <v>480</v>
      </c>
      <c r="F8" t="str">
        <v>min</v>
      </c>
      <c r="G8" t="str">
        <v>Sim</v>
      </c>
      <c r="H8">
        <v>480</v>
      </c>
      <c r="I8">
        <v>20</v>
      </c>
      <c r="J8" t="str">
        <v>Dor lombar atrapalhou o sono.</v>
      </c>
    </row>
    <row r="9">
      <c r="A9" s="2">
        <v>46234</v>
      </c>
      <c r="B9" t="str">
        <v>Diego</v>
      </c>
      <c r="C9" t="str">
        <v>Meta alimentar</v>
      </c>
      <c r="D9" t="str">
        <v>Alimentacao</v>
      </c>
      <c r="E9">
        <v>1</v>
      </c>
      <c r="F9" t="str">
        <v>plano</v>
      </c>
      <c r="G9" t="str">
        <v>Sim</v>
      </c>
      <c r="H9">
        <v>1</v>
      </c>
      <c r="I9">
        <v>20</v>
      </c>
      <c r="J9" t="str">
        <v/>
      </c>
    </row>
    <row r="10">
      <c r="A10" s="2">
        <v>46234</v>
      </c>
      <c r="B10" t="str">
        <v>Diego</v>
      </c>
      <c r="C10" t="str">
        <v>Meta de agua</v>
      </c>
      <c r="D10" t="str">
        <v>Hidratacao</v>
      </c>
      <c r="E10">
        <v>3000</v>
      </c>
      <c r="F10" t="str">
        <v>ml</v>
      </c>
      <c r="G10" t="str">
        <v>Sim</v>
      </c>
      <c r="H10">
        <v>3000</v>
      </c>
      <c r="I10">
        <v>20</v>
      </c>
      <c r="J10" t="str">
        <v/>
      </c>
    </row>
    <row r="11">
      <c r="A11" s="2">
        <v>46234</v>
      </c>
      <c r="B11" t="str">
        <v>Diego</v>
      </c>
      <c r="C11" t="str">
        <v>Meta de estudo</v>
      </c>
      <c r="D11" t="str">
        <v>Estudo</v>
      </c>
      <c r="E11">
        <v>30</v>
      </c>
      <c r="F11" t="str">
        <v>min</v>
      </c>
      <c r="G11" t="str">
        <v>Sim</v>
      </c>
      <c r="H11">
        <v>30</v>
      </c>
      <c r="I11">
        <v>15</v>
      </c>
      <c r="J11" t="str">
        <v/>
      </c>
    </row>
    <row r="12">
      <c r="A12" s="2">
        <v>46234</v>
      </c>
      <c r="B12" t="str">
        <v>Diego</v>
      </c>
      <c r="C12" t="str">
        <v>Meta de remedios</v>
      </c>
      <c r="D12" t="str">
        <v>Saude</v>
      </c>
      <c r="E12">
        <v>1</v>
      </c>
      <c r="F12" t="str">
        <v>dose</v>
      </c>
      <c r="G12" t="str">
        <v>Sim</v>
      </c>
      <c r="H12">
        <v>1</v>
      </c>
      <c r="I12">
        <v>25</v>
      </c>
      <c r="J12" t="str">
        <v/>
      </c>
    </row>
    <row r="13">
      <c r="A13" s="2">
        <v>46234</v>
      </c>
      <c r="B13" t="str">
        <v>Diego</v>
      </c>
      <c r="C13" t="str">
        <v>Meta de sono</v>
      </c>
      <c r="D13" t="str">
        <v>Sono</v>
      </c>
      <c r="E13">
        <v>480</v>
      </c>
      <c r="F13" t="str">
        <v>min</v>
      </c>
      <c r="G13" t="str">
        <v>Sim</v>
      </c>
      <c r="H13">
        <v>480</v>
      </c>
      <c r="I13">
        <v>20</v>
      </c>
      <c r="J13" t="str">
        <v>Dor lombar atrapalhou o sono.</v>
      </c>
    </row>
    <row r="14">
      <c r="A14" s="2">
        <v>46235</v>
      </c>
      <c r="B14" t="str">
        <v>Alice</v>
      </c>
      <c r="C14" t="str">
        <v>Meta alimentar</v>
      </c>
      <c r="D14" t="str">
        <v>Alimentacao</v>
      </c>
      <c r="E14">
        <v>1</v>
      </c>
      <c r="F14" t="str">
        <v>plano</v>
      </c>
      <c r="G14" t="str">
        <v>Sim</v>
      </c>
      <c r="H14">
        <v>1</v>
      </c>
      <c r="I14">
        <v>25</v>
      </c>
      <c r="J14" t="str">
        <v/>
      </c>
    </row>
    <row r="15">
      <c r="A15" s="2">
        <v>46235</v>
      </c>
      <c r="B15" t="str">
        <v>Alice</v>
      </c>
      <c r="C15" t="str">
        <v>Meta de agua</v>
      </c>
      <c r="D15" t="str">
        <v>Hidratacao</v>
      </c>
      <c r="E15">
        <v>2500</v>
      </c>
      <c r="F15" t="str">
        <v>ml</v>
      </c>
      <c r="G15" t="str">
        <v>Sim</v>
      </c>
      <c r="H15">
        <v>2500</v>
      </c>
      <c r="I15">
        <v>20</v>
      </c>
      <c r="J15" t="str">
        <v/>
      </c>
    </row>
    <row r="16">
      <c r="A16" s="2">
        <v>46235</v>
      </c>
      <c r="B16" t="str">
        <v>Alice</v>
      </c>
      <c r="C16" t="str">
        <v>Meta de estudo</v>
      </c>
      <c r="D16" t="str">
        <v>Estudo</v>
      </c>
      <c r="E16">
        <v>30</v>
      </c>
      <c r="F16" t="str">
        <v>min</v>
      </c>
      <c r="G16" t="str">
        <v>Sim</v>
      </c>
      <c r="H16">
        <v>30</v>
      </c>
      <c r="I16">
        <v>15</v>
      </c>
      <c r="J16" t="str">
        <v/>
      </c>
    </row>
    <row r="17">
      <c r="A17" s="2">
        <v>46235</v>
      </c>
      <c r="B17" t="str">
        <v>Alice</v>
      </c>
      <c r="C17" t="str">
        <v>Meta de remedios</v>
      </c>
      <c r="D17" t="str">
        <v>Saude</v>
      </c>
      <c r="E17">
        <v>1</v>
      </c>
      <c r="F17" t="str">
        <v>dose</v>
      </c>
      <c r="G17" t="str">
        <v>Sim</v>
      </c>
      <c r="H17">
        <v>1</v>
      </c>
      <c r="I17">
        <v>20</v>
      </c>
      <c r="J17" t="str">
        <v/>
      </c>
    </row>
    <row r="18">
      <c r="A18" s="2">
        <v>46235</v>
      </c>
      <c r="B18" t="str">
        <v>Alice</v>
      </c>
      <c r="C18" t="str">
        <v>Meta de sono</v>
      </c>
      <c r="D18" t="str">
        <v>Sono</v>
      </c>
      <c r="E18">
        <v>480</v>
      </c>
      <c r="F18" t="str">
        <v>min</v>
      </c>
      <c r="G18" t="str">
        <v>Sim</v>
      </c>
      <c r="H18">
        <v>480</v>
      </c>
      <c r="I18">
        <v>20</v>
      </c>
      <c r="J18" t="str">
        <v>Dor lombar atrapalhou o sono.</v>
      </c>
    </row>
    <row r="19">
      <c r="A19" s="2">
        <v>46235</v>
      </c>
      <c r="B19" t="str">
        <v>Diego</v>
      </c>
      <c r="C19" t="str">
        <v>Meta alimentar</v>
      </c>
      <c r="D19" t="str">
        <v>Alimentacao</v>
      </c>
      <c r="E19">
        <v>1</v>
      </c>
      <c r="F19" t="str">
        <v>plano</v>
      </c>
      <c r="G19" t="str">
        <v>Sim</v>
      </c>
      <c r="H19">
        <v>1</v>
      </c>
      <c r="I19">
        <v>20</v>
      </c>
      <c r="J19" t="str">
        <v/>
      </c>
    </row>
    <row r="20">
      <c r="A20" s="2">
        <v>46235</v>
      </c>
      <c r="B20" t="str">
        <v>Diego</v>
      </c>
      <c r="C20" t="str">
        <v>Meta de agua</v>
      </c>
      <c r="D20" t="str">
        <v>Hidratacao</v>
      </c>
      <c r="E20">
        <v>3000</v>
      </c>
      <c r="F20" t="str">
        <v>ml</v>
      </c>
      <c r="G20" t="str">
        <v>Sim</v>
      </c>
      <c r="H20">
        <v>3000</v>
      </c>
      <c r="I20">
        <v>20</v>
      </c>
      <c r="J20" t="str">
        <v/>
      </c>
    </row>
    <row r="21">
      <c r="A21" s="2">
        <v>46235</v>
      </c>
      <c r="B21" t="str">
        <v>Diego</v>
      </c>
      <c r="C21" t="str">
        <v>Meta de estudo</v>
      </c>
      <c r="D21" t="str">
        <v>Estudo</v>
      </c>
      <c r="E21">
        <v>30</v>
      </c>
      <c r="F21" t="str">
        <v>min</v>
      </c>
      <c r="G21" t="str">
        <v>Sim</v>
      </c>
      <c r="H21">
        <v>30</v>
      </c>
      <c r="I21">
        <v>15</v>
      </c>
      <c r="J21" t="str">
        <v/>
      </c>
    </row>
    <row r="22">
      <c r="A22" s="2">
        <v>46235</v>
      </c>
      <c r="B22" t="str">
        <v>Diego</v>
      </c>
      <c r="C22" t="str">
        <v>Meta de remedios</v>
      </c>
      <c r="D22" t="str">
        <v>Saude</v>
      </c>
      <c r="E22">
        <v>1</v>
      </c>
      <c r="F22" t="str">
        <v>dose</v>
      </c>
      <c r="G22" t="str">
        <v>Sim</v>
      </c>
      <c r="H22">
        <v>1</v>
      </c>
      <c r="I22">
        <v>25</v>
      </c>
      <c r="J22" t="str">
        <v/>
      </c>
    </row>
    <row r="23">
      <c r="A23" s="2">
        <v>46235</v>
      </c>
      <c r="B23" t="str">
        <v>Diego</v>
      </c>
      <c r="C23" t="str">
        <v>Meta de sono</v>
      </c>
      <c r="D23" t="str">
        <v>Sono</v>
      </c>
      <c r="E23">
        <v>480</v>
      </c>
      <c r="F23" t="str">
        <v>min</v>
      </c>
      <c r="G23" t="str">
        <v>Nao</v>
      </c>
      <c r="H23">
        <v>240</v>
      </c>
      <c r="I23">
        <v>0</v>
      </c>
      <c r="J23" t="str">
        <v/>
      </c>
    </row>
    <row r="24">
      <c r="A24" s="2">
        <v>46236</v>
      </c>
      <c r="B24" t="str">
        <v>Alice</v>
      </c>
      <c r="C24" t="str">
        <v>Meta alimentar</v>
      </c>
      <c r="D24" t="str">
        <v>Alimentacao</v>
      </c>
      <c r="E24">
        <v>1</v>
      </c>
      <c r="F24" t="str">
        <v>plano</v>
      </c>
      <c r="G24" t="str">
        <v>Sim</v>
      </c>
      <c r="H24">
        <v>1</v>
      </c>
      <c r="I24">
        <v>25</v>
      </c>
      <c r="J24" t="str">
        <v/>
      </c>
    </row>
    <row r="25">
      <c r="A25" s="2">
        <v>46236</v>
      </c>
      <c r="B25" t="str">
        <v>Alice</v>
      </c>
      <c r="C25" t="str">
        <v>Meta de agua</v>
      </c>
      <c r="D25" t="str">
        <v>Hidratacao</v>
      </c>
      <c r="E25">
        <v>2500</v>
      </c>
      <c r="F25" t="str">
        <v>ml</v>
      </c>
      <c r="G25" t="str">
        <v>Sim</v>
      </c>
      <c r="H25">
        <v>2500</v>
      </c>
      <c r="I25">
        <v>20</v>
      </c>
      <c r="J25" t="str">
        <v/>
      </c>
    </row>
    <row r="26">
      <c r="A26" s="2">
        <v>46236</v>
      </c>
      <c r="B26" t="str">
        <v>Alice</v>
      </c>
      <c r="C26" t="str">
        <v>Meta de estudo</v>
      </c>
      <c r="D26" t="str">
        <v>Estudo</v>
      </c>
      <c r="E26">
        <v>30</v>
      </c>
      <c r="F26" t="str">
        <v>min</v>
      </c>
      <c r="G26" t="str">
        <v>Sim</v>
      </c>
      <c r="H26">
        <v>30</v>
      </c>
      <c r="I26">
        <v>15</v>
      </c>
      <c r="J26" t="str">
        <v/>
      </c>
    </row>
    <row r="27">
      <c r="A27" s="2">
        <v>46236</v>
      </c>
      <c r="B27" t="str">
        <v>Alice</v>
      </c>
      <c r="C27" t="str">
        <v>Meta de remedios</v>
      </c>
      <c r="D27" t="str">
        <v>Saude</v>
      </c>
      <c r="E27">
        <v>1</v>
      </c>
      <c r="F27" t="str">
        <v>dose</v>
      </c>
      <c r="G27" t="str">
        <v>Sim</v>
      </c>
      <c r="H27">
        <v>1</v>
      </c>
      <c r="I27">
        <v>20</v>
      </c>
      <c r="J27" t="str">
        <v/>
      </c>
    </row>
    <row r="28">
      <c r="A28" s="2">
        <v>46236</v>
      </c>
      <c r="B28" t="str">
        <v>Alice</v>
      </c>
      <c r="C28" t="str">
        <v>Meta de sono</v>
      </c>
      <c r="D28" t="str">
        <v>Sono</v>
      </c>
      <c r="E28">
        <v>480</v>
      </c>
      <c r="F28" t="str">
        <v>min</v>
      </c>
      <c r="G28" t="str">
        <v>Nao</v>
      </c>
      <c r="H28">
        <v>240</v>
      </c>
      <c r="I28">
        <v>0</v>
      </c>
      <c r="J28" t="str">
        <v/>
      </c>
    </row>
    <row r="29">
      <c r="A29" s="2">
        <v>46236</v>
      </c>
      <c r="B29" t="str">
        <v>Diego</v>
      </c>
      <c r="C29" t="str">
        <v>Meta alimentar</v>
      </c>
      <c r="D29" t="str">
        <v>Alimentacao</v>
      </c>
      <c r="E29">
        <v>1</v>
      </c>
      <c r="F29" t="str">
        <v>plano</v>
      </c>
      <c r="G29" t="str">
        <v>Sim</v>
      </c>
      <c r="H29">
        <v>1</v>
      </c>
      <c r="I29">
        <v>20</v>
      </c>
      <c r="J29" t="str">
        <v/>
      </c>
    </row>
    <row r="30">
      <c r="A30" s="2">
        <v>46236</v>
      </c>
      <c r="B30" t="str">
        <v>Diego</v>
      </c>
      <c r="C30" t="str">
        <v>Meta de agua</v>
      </c>
      <c r="D30" t="str">
        <v>Hidratacao</v>
      </c>
      <c r="E30">
        <v>3000</v>
      </c>
      <c r="F30" t="str">
        <v>ml</v>
      </c>
      <c r="G30" t="str">
        <v>Sim</v>
      </c>
      <c r="H30">
        <v>3000</v>
      </c>
      <c r="I30">
        <v>20</v>
      </c>
      <c r="J30" t="str">
        <v/>
      </c>
    </row>
    <row r="31">
      <c r="A31" s="2">
        <v>46236</v>
      </c>
      <c r="B31" t="str">
        <v>Diego</v>
      </c>
      <c r="C31" t="str">
        <v>Meta de estudo</v>
      </c>
      <c r="D31" t="str">
        <v>Estudo</v>
      </c>
      <c r="E31">
        <v>30</v>
      </c>
      <c r="F31" t="str">
        <v>min</v>
      </c>
      <c r="G31" t="str">
        <v>Nao</v>
      </c>
      <c r="H31">
        <v>15</v>
      </c>
      <c r="I31">
        <v>0</v>
      </c>
      <c r="J31" t="str">
        <v>Sem tempo disponivel no dia.</v>
      </c>
    </row>
    <row r="32">
      <c r="A32" s="2">
        <v>46236</v>
      </c>
      <c r="B32" t="str">
        <v>Diego</v>
      </c>
      <c r="C32" t="str">
        <v>Meta de remedios</v>
      </c>
      <c r="D32" t="str">
        <v>Saude</v>
      </c>
      <c r="E32">
        <v>1</v>
      </c>
      <c r="F32" t="str">
        <v>dose</v>
      </c>
      <c r="G32" t="str">
        <v>Sim</v>
      </c>
      <c r="H32">
        <v>1</v>
      </c>
      <c r="I32">
        <v>25</v>
      </c>
      <c r="J32" t="str">
        <v/>
      </c>
    </row>
    <row r="33">
      <c r="A33" s="2">
        <v>46236</v>
      </c>
      <c r="B33" t="str">
        <v>Diego</v>
      </c>
      <c r="C33" t="str">
        <v>Meta de sono</v>
      </c>
      <c r="D33" t="str">
        <v>Sono</v>
      </c>
      <c r="E33">
        <v>480</v>
      </c>
      <c r="F33" t="str">
        <v>min</v>
      </c>
      <c r="G33" t="str">
        <v>Sim</v>
      </c>
      <c r="H33">
        <v>480</v>
      </c>
      <c r="I33">
        <v>20</v>
      </c>
      <c r="J33" t="str">
        <v>Dor lombar atrapalhou o sono.</v>
      </c>
    </row>
    <row r="34">
      <c r="A34" s="2">
        <v>46237</v>
      </c>
      <c r="B34" t="str">
        <v>Alice</v>
      </c>
      <c r="C34" t="str">
        <v>Meta alimentar</v>
      </c>
      <c r="D34" t="str">
        <v>Alimentacao</v>
      </c>
      <c r="E34">
        <v>1</v>
      </c>
      <c r="F34" t="str">
        <v>plano</v>
      </c>
      <c r="G34" t="str">
        <v>Sim</v>
      </c>
      <c r="H34">
        <v>1</v>
      </c>
      <c r="I34">
        <v>25</v>
      </c>
      <c r="J34" t="str">
        <v/>
      </c>
    </row>
    <row r="35">
      <c r="A35" s="2">
        <v>46237</v>
      </c>
      <c r="B35" t="str">
        <v>Alice</v>
      </c>
      <c r="C35" t="str">
        <v>Meta de agua</v>
      </c>
      <c r="D35" t="str">
        <v>Hidratacao</v>
      </c>
      <c r="E35">
        <v>2500</v>
      </c>
      <c r="F35" t="str">
        <v>ml</v>
      </c>
      <c r="G35" t="str">
        <v>Sim</v>
      </c>
      <c r="H35">
        <v>2500</v>
      </c>
      <c r="I35">
        <v>20</v>
      </c>
      <c r="J35" t="str">
        <v/>
      </c>
    </row>
    <row r="36">
      <c r="A36" s="2">
        <v>46237</v>
      </c>
      <c r="B36" t="str">
        <v>Alice</v>
      </c>
      <c r="C36" t="str">
        <v>Meta de estudo</v>
      </c>
      <c r="D36" t="str">
        <v>Estudo</v>
      </c>
      <c r="E36">
        <v>30</v>
      </c>
      <c r="F36" t="str">
        <v>min</v>
      </c>
      <c r="G36" t="str">
        <v>Nao</v>
      </c>
      <c r="H36">
        <v>15</v>
      </c>
      <c r="I36">
        <v>0</v>
      </c>
      <c r="J36" t="str">
        <v>Sem tempo disponivel no dia.</v>
      </c>
    </row>
    <row r="37">
      <c r="A37" s="2">
        <v>46237</v>
      </c>
      <c r="B37" t="str">
        <v>Alice</v>
      </c>
      <c r="C37" t="str">
        <v>Meta de remedios</v>
      </c>
      <c r="D37" t="str">
        <v>Saude</v>
      </c>
      <c r="E37">
        <v>1</v>
      </c>
      <c r="F37" t="str">
        <v>dose</v>
      </c>
      <c r="G37" t="str">
        <v>Sim</v>
      </c>
      <c r="H37">
        <v>1</v>
      </c>
      <c r="I37">
        <v>20</v>
      </c>
      <c r="J37" t="str">
        <v/>
      </c>
    </row>
    <row r="38">
      <c r="A38" s="2">
        <v>46237</v>
      </c>
      <c r="B38" t="str">
        <v>Alice</v>
      </c>
      <c r="C38" t="str">
        <v>Meta de sono</v>
      </c>
      <c r="D38" t="str">
        <v>Sono</v>
      </c>
      <c r="E38">
        <v>480</v>
      </c>
      <c r="F38" t="str">
        <v>min</v>
      </c>
      <c r="G38" t="str">
        <v>Sim</v>
      </c>
      <c r="H38">
        <v>480</v>
      </c>
      <c r="I38">
        <v>20</v>
      </c>
      <c r="J38" t="str">
        <v>Dor lombar atrapalhou o sono.</v>
      </c>
    </row>
    <row r="39">
      <c r="A39" s="2">
        <v>46237</v>
      </c>
      <c r="B39" t="str">
        <v>Diego</v>
      </c>
      <c r="C39" t="str">
        <v>Meta alimentar</v>
      </c>
      <c r="D39" t="str">
        <v>Alimentacao</v>
      </c>
      <c r="E39">
        <v>1</v>
      </c>
      <c r="F39" t="str">
        <v>plano</v>
      </c>
      <c r="G39" t="str">
        <v>Nao</v>
      </c>
      <c r="H39">
        <v>0</v>
      </c>
      <c r="I39">
        <v>0</v>
      </c>
      <c r="J39" t="str">
        <v>Refeicao fora do planejado.</v>
      </c>
    </row>
    <row r="40">
      <c r="A40" s="2">
        <v>46237</v>
      </c>
      <c r="B40" t="str">
        <v>Diego</v>
      </c>
      <c r="C40" t="str">
        <v>Meta de agua</v>
      </c>
      <c r="D40" t="str">
        <v>Hidratacao</v>
      </c>
      <c r="E40">
        <v>3000</v>
      </c>
      <c r="F40" t="str">
        <v>ml</v>
      </c>
      <c r="G40" t="str">
        <v>Sim</v>
      </c>
      <c r="H40">
        <v>3000</v>
      </c>
      <c r="I40">
        <v>20</v>
      </c>
      <c r="J40" t="str">
        <v/>
      </c>
    </row>
    <row r="41">
      <c r="A41" s="2">
        <v>46237</v>
      </c>
      <c r="B41" t="str">
        <v>Diego</v>
      </c>
      <c r="C41" t="str">
        <v>Meta de estudo</v>
      </c>
      <c r="D41" t="str">
        <v>Estudo</v>
      </c>
      <c r="E41">
        <v>30</v>
      </c>
      <c r="F41" t="str">
        <v>min</v>
      </c>
      <c r="G41" t="str">
        <v>Sim</v>
      </c>
      <c r="H41">
        <v>30</v>
      </c>
      <c r="I41">
        <v>15</v>
      </c>
      <c r="J41" t="str">
        <v/>
      </c>
    </row>
    <row r="42">
      <c r="A42" s="2">
        <v>46237</v>
      </c>
      <c r="B42" t="str">
        <v>Diego</v>
      </c>
      <c r="C42" t="str">
        <v>Meta de remedios</v>
      </c>
      <c r="D42" t="str">
        <v>Saude</v>
      </c>
      <c r="E42">
        <v>1</v>
      </c>
      <c r="F42" t="str">
        <v>dose</v>
      </c>
      <c r="G42" t="str">
        <v>Sim</v>
      </c>
      <c r="H42">
        <v>1</v>
      </c>
      <c r="I42">
        <v>25</v>
      </c>
      <c r="J42" t="str">
        <v/>
      </c>
    </row>
    <row r="43">
      <c r="A43" s="2">
        <v>46237</v>
      </c>
      <c r="B43" t="str">
        <v>Diego</v>
      </c>
      <c r="C43" t="str">
        <v>Meta de sono</v>
      </c>
      <c r="D43" t="str">
        <v>Sono</v>
      </c>
      <c r="E43">
        <v>480</v>
      </c>
      <c r="F43" t="str">
        <v>min</v>
      </c>
      <c r="G43" t="str">
        <v>Sim</v>
      </c>
      <c r="H43">
        <v>480</v>
      </c>
      <c r="I43">
        <v>20</v>
      </c>
      <c r="J43" t="str">
        <v>Dor lombar atrapalhou o sono.</v>
      </c>
    </row>
    <row r="44">
      <c r="A44" s="2">
        <v>46238</v>
      </c>
      <c r="B44" t="str">
        <v>Alice</v>
      </c>
      <c r="C44" t="str">
        <v>Meta alimentar</v>
      </c>
      <c r="D44" t="str">
        <v>Alimentacao</v>
      </c>
      <c r="E44">
        <v>1</v>
      </c>
      <c r="F44" t="str">
        <v>plano</v>
      </c>
      <c r="G44" t="str">
        <v>Nao</v>
      </c>
      <c r="H44">
        <v>0</v>
      </c>
      <c r="I44">
        <v>0</v>
      </c>
      <c r="J44" t="str">
        <v>Refeicao fora do planejado.</v>
      </c>
    </row>
    <row r="45">
      <c r="A45" s="2">
        <v>46238</v>
      </c>
      <c r="B45" t="str">
        <v>Alice</v>
      </c>
      <c r="C45" t="str">
        <v>Meta de agua</v>
      </c>
      <c r="D45" t="str">
        <v>Hidratacao</v>
      </c>
      <c r="E45">
        <v>2500</v>
      </c>
      <c r="F45" t="str">
        <v>ml</v>
      </c>
      <c r="G45" t="str">
        <v>Sim</v>
      </c>
      <c r="H45">
        <v>2500</v>
      </c>
      <c r="I45">
        <v>20</v>
      </c>
      <c r="J45" t="str">
        <v/>
      </c>
    </row>
    <row r="46">
      <c r="A46" s="2">
        <v>46238</v>
      </c>
      <c r="B46" t="str">
        <v>Alice</v>
      </c>
      <c r="C46" t="str">
        <v>Meta de estudo</v>
      </c>
      <c r="D46" t="str">
        <v>Estudo</v>
      </c>
      <c r="E46">
        <v>30</v>
      </c>
      <c r="F46" t="str">
        <v>min</v>
      </c>
      <c r="G46" t="str">
        <v>Sim</v>
      </c>
      <c r="H46">
        <v>30</v>
      </c>
      <c r="I46">
        <v>15</v>
      </c>
      <c r="J46" t="str">
        <v/>
      </c>
    </row>
    <row r="47">
      <c r="A47" s="2">
        <v>46238</v>
      </c>
      <c r="B47" t="str">
        <v>Alice</v>
      </c>
      <c r="C47" t="str">
        <v>Meta de remedios</v>
      </c>
      <c r="D47" t="str">
        <v>Saude</v>
      </c>
      <c r="E47">
        <v>1</v>
      </c>
      <c r="F47" t="str">
        <v>dose</v>
      </c>
      <c r="G47" t="str">
        <v>Sim</v>
      </c>
      <c r="H47">
        <v>1</v>
      </c>
      <c r="I47">
        <v>20</v>
      </c>
      <c r="J47" t="str">
        <v/>
      </c>
    </row>
    <row r="48">
      <c r="A48" s="2">
        <v>46238</v>
      </c>
      <c r="B48" t="str">
        <v>Alice</v>
      </c>
      <c r="C48" t="str">
        <v>Meta de sono</v>
      </c>
      <c r="D48" t="str">
        <v>Sono</v>
      </c>
      <c r="E48">
        <v>480</v>
      </c>
      <c r="F48" t="str">
        <v>min</v>
      </c>
      <c r="G48" t="str">
        <v>Sim</v>
      </c>
      <c r="H48">
        <v>480</v>
      </c>
      <c r="I48">
        <v>20</v>
      </c>
      <c r="J48" t="str">
        <v>Dor lombar atrapalhou o sono.</v>
      </c>
    </row>
    <row r="49">
      <c r="A49" s="2">
        <v>46238</v>
      </c>
      <c r="B49" t="str">
        <v>Diego</v>
      </c>
      <c r="C49" t="str">
        <v>Meta alimentar</v>
      </c>
      <c r="D49" t="str">
        <v>Alimentacao</v>
      </c>
      <c r="E49">
        <v>1</v>
      </c>
      <c r="F49" t="str">
        <v>plano</v>
      </c>
      <c r="G49" t="str">
        <v>Nao</v>
      </c>
      <c r="H49">
        <v>0</v>
      </c>
      <c r="I49">
        <v>0</v>
      </c>
      <c r="J49" t="str">
        <v>Refeicao fora do planejado.</v>
      </c>
    </row>
    <row r="50">
      <c r="A50" s="2">
        <v>46238</v>
      </c>
      <c r="B50" t="str">
        <v>Diego</v>
      </c>
      <c r="C50" t="str">
        <v>Meta de agua</v>
      </c>
      <c r="D50" t="str">
        <v>Hidratacao</v>
      </c>
      <c r="E50">
        <v>3000</v>
      </c>
      <c r="F50" t="str">
        <v>ml</v>
      </c>
      <c r="G50" t="str">
        <v>Sim</v>
      </c>
      <c r="H50">
        <v>3000</v>
      </c>
      <c r="I50">
        <v>20</v>
      </c>
      <c r="J50" t="str">
        <v/>
      </c>
    </row>
    <row r="51">
      <c r="A51" s="2">
        <v>46238</v>
      </c>
      <c r="B51" t="str">
        <v>Diego</v>
      </c>
      <c r="C51" t="str">
        <v>Meta de estudo</v>
      </c>
      <c r="D51" t="str">
        <v>Estudo</v>
      </c>
      <c r="E51">
        <v>30</v>
      </c>
      <c r="F51" t="str">
        <v>min</v>
      </c>
      <c r="G51" t="str">
        <v>Nao</v>
      </c>
      <c r="H51">
        <v>15</v>
      </c>
      <c r="I51">
        <v>0</v>
      </c>
      <c r="J51" t="str">
        <v>Sem tempo disponivel no dia.</v>
      </c>
    </row>
    <row r="52">
      <c r="A52" s="2">
        <v>46238</v>
      </c>
      <c r="B52" t="str">
        <v>Diego</v>
      </c>
      <c r="C52" t="str">
        <v>Meta de remedios</v>
      </c>
      <c r="D52" t="str">
        <v>Saude</v>
      </c>
      <c r="E52">
        <v>1</v>
      </c>
      <c r="F52" t="str">
        <v>dose</v>
      </c>
      <c r="G52" t="str">
        <v>Sim</v>
      </c>
      <c r="H52">
        <v>1</v>
      </c>
      <c r="I52">
        <v>25</v>
      </c>
      <c r="J52" t="str">
        <v/>
      </c>
    </row>
    <row r="53">
      <c r="A53" s="2">
        <v>46238</v>
      </c>
      <c r="B53" t="str">
        <v>Diego</v>
      </c>
      <c r="C53" t="str">
        <v>Meta de sono</v>
      </c>
      <c r="D53" t="str">
        <v>Sono</v>
      </c>
      <c r="E53">
        <v>480</v>
      </c>
      <c r="F53" t="str">
        <v>min</v>
      </c>
      <c r="G53" t="str">
        <v>Nao</v>
      </c>
      <c r="H53">
        <v>240</v>
      </c>
      <c r="I53">
        <v>0</v>
      </c>
      <c r="J53" t="str">
        <v/>
      </c>
    </row>
    <row r="54">
      <c r="A54" s="2">
        <v>46239</v>
      </c>
      <c r="B54" t="str">
        <v>Alice</v>
      </c>
      <c r="C54" t="str">
        <v>Meta alimentar</v>
      </c>
      <c r="D54" t="str">
        <v>Alimentacao</v>
      </c>
      <c r="E54">
        <v>1</v>
      </c>
      <c r="F54" t="str">
        <v>plano</v>
      </c>
      <c r="G54" t="str">
        <v>Sim</v>
      </c>
      <c r="H54">
        <v>1</v>
      </c>
      <c r="I54">
        <v>25</v>
      </c>
      <c r="J54" t="str">
        <v/>
      </c>
    </row>
    <row r="55">
      <c r="A55" s="2">
        <v>46239</v>
      </c>
      <c r="B55" t="str">
        <v>Alice</v>
      </c>
      <c r="C55" t="str">
        <v>Meta de agua</v>
      </c>
      <c r="D55" t="str">
        <v>Hidratacao</v>
      </c>
      <c r="E55">
        <v>2500</v>
      </c>
      <c r="F55" t="str">
        <v>ml</v>
      </c>
      <c r="G55" t="str">
        <v>Sim</v>
      </c>
      <c r="H55">
        <v>2500</v>
      </c>
      <c r="I55">
        <v>20</v>
      </c>
      <c r="J55" t="str">
        <v/>
      </c>
    </row>
    <row r="56">
      <c r="A56" s="2">
        <v>46239</v>
      </c>
      <c r="B56" t="str">
        <v>Alice</v>
      </c>
      <c r="C56" t="str">
        <v>Meta de estudo</v>
      </c>
      <c r="D56" t="str">
        <v>Estudo</v>
      </c>
      <c r="E56">
        <v>30</v>
      </c>
      <c r="F56" t="str">
        <v>min</v>
      </c>
      <c r="G56" t="str">
        <v>Sim</v>
      </c>
      <c r="H56">
        <v>30</v>
      </c>
      <c r="I56">
        <v>15</v>
      </c>
      <c r="J56" t="str">
        <v/>
      </c>
    </row>
    <row r="57">
      <c r="A57" s="2">
        <v>46239</v>
      </c>
      <c r="B57" t="str">
        <v>Alice</v>
      </c>
      <c r="C57" t="str">
        <v>Meta de remedios</v>
      </c>
      <c r="D57" t="str">
        <v>Saude</v>
      </c>
      <c r="E57">
        <v>1</v>
      </c>
      <c r="F57" t="str">
        <v>dose</v>
      </c>
      <c r="G57" t="str">
        <v>Sim</v>
      </c>
      <c r="H57">
        <v>1</v>
      </c>
      <c r="I57">
        <v>20</v>
      </c>
      <c r="J57" t="str">
        <v/>
      </c>
    </row>
    <row r="58">
      <c r="A58" s="2">
        <v>46239</v>
      </c>
      <c r="B58" t="str">
        <v>Alice</v>
      </c>
      <c r="C58" t="str">
        <v>Meta de sono</v>
      </c>
      <c r="D58" t="str">
        <v>Sono</v>
      </c>
      <c r="E58">
        <v>480</v>
      </c>
      <c r="F58" t="str">
        <v>min</v>
      </c>
      <c r="G58" t="str">
        <v>Sim</v>
      </c>
      <c r="H58">
        <v>480</v>
      </c>
      <c r="I58">
        <v>20</v>
      </c>
      <c r="J58" t="str">
        <v>Dor lombar atrapalhou o sono.</v>
      </c>
    </row>
    <row r="59">
      <c r="A59" s="2">
        <v>46239</v>
      </c>
      <c r="B59" t="str">
        <v>Diego</v>
      </c>
      <c r="C59" t="str">
        <v>Meta alimentar</v>
      </c>
      <c r="D59" t="str">
        <v>Alimentacao</v>
      </c>
      <c r="E59">
        <v>1</v>
      </c>
      <c r="F59" t="str">
        <v>plano</v>
      </c>
      <c r="G59" t="str">
        <v>Sim</v>
      </c>
      <c r="H59">
        <v>1</v>
      </c>
      <c r="I59">
        <v>20</v>
      </c>
      <c r="J59" t="str">
        <v/>
      </c>
    </row>
    <row r="60">
      <c r="A60" s="2">
        <v>46239</v>
      </c>
      <c r="B60" t="str">
        <v>Diego</v>
      </c>
      <c r="C60" t="str">
        <v>Meta de agua</v>
      </c>
      <c r="D60" t="str">
        <v>Hidratacao</v>
      </c>
      <c r="E60">
        <v>3000</v>
      </c>
      <c r="F60" t="str">
        <v>ml</v>
      </c>
      <c r="G60" t="str">
        <v>Sim</v>
      </c>
      <c r="H60">
        <v>3000</v>
      </c>
      <c r="I60">
        <v>20</v>
      </c>
      <c r="J60" t="str">
        <v/>
      </c>
    </row>
    <row r="61">
      <c r="A61" s="2">
        <v>46239</v>
      </c>
      <c r="B61" t="str">
        <v>Diego</v>
      </c>
      <c r="C61" t="str">
        <v>Meta de estudo</v>
      </c>
      <c r="D61" t="str">
        <v>Estudo</v>
      </c>
      <c r="E61">
        <v>30</v>
      </c>
      <c r="F61" t="str">
        <v>min</v>
      </c>
      <c r="G61" t="str">
        <v>Sim</v>
      </c>
      <c r="H61">
        <v>30</v>
      </c>
      <c r="I61">
        <v>15</v>
      </c>
      <c r="J61" t="str">
        <v/>
      </c>
    </row>
    <row r="62">
      <c r="A62" s="2">
        <v>46239</v>
      </c>
      <c r="B62" t="str">
        <v>Diego</v>
      </c>
      <c r="C62" t="str">
        <v>Meta de remedios</v>
      </c>
      <c r="D62" t="str">
        <v>Saude</v>
      </c>
      <c r="E62">
        <v>1</v>
      </c>
      <c r="F62" t="str">
        <v>dose</v>
      </c>
      <c r="G62" t="str">
        <v>Sim</v>
      </c>
      <c r="H62">
        <v>1</v>
      </c>
      <c r="I62">
        <v>25</v>
      </c>
      <c r="J62" t="str">
        <v/>
      </c>
    </row>
    <row r="63">
      <c r="A63" s="2">
        <v>46239</v>
      </c>
      <c r="B63" t="str">
        <v>Diego</v>
      </c>
      <c r="C63" t="str">
        <v>Meta de sono</v>
      </c>
      <c r="D63" t="str">
        <v>Sono</v>
      </c>
      <c r="E63">
        <v>480</v>
      </c>
      <c r="F63" t="str">
        <v>min</v>
      </c>
      <c r="G63" t="str">
        <v>Nao</v>
      </c>
      <c r="H63">
        <v>240</v>
      </c>
      <c r="I63">
        <v>0</v>
      </c>
      <c r="J63" t="str">
        <v/>
      </c>
    </row>
    <row r="64">
      <c r="A64" s="2">
        <v>46240</v>
      </c>
      <c r="B64" t="str">
        <v>Alice</v>
      </c>
      <c r="C64" t="str">
        <v>Meta alimentar</v>
      </c>
      <c r="D64" t="str">
        <v>Alimentacao</v>
      </c>
      <c r="E64">
        <v>1</v>
      </c>
      <c r="F64" t="str">
        <v>plano</v>
      </c>
      <c r="G64" t="str">
        <v>Sim</v>
      </c>
      <c r="H64">
        <v>1</v>
      </c>
      <c r="I64">
        <v>25</v>
      </c>
      <c r="J64" t="str">
        <v/>
      </c>
    </row>
    <row r="65">
      <c r="A65" s="2">
        <v>46240</v>
      </c>
      <c r="B65" t="str">
        <v>Alice</v>
      </c>
      <c r="C65" t="str">
        <v>Meta de agua</v>
      </c>
      <c r="D65" t="str">
        <v>Hidratacao</v>
      </c>
      <c r="E65">
        <v>2500</v>
      </c>
      <c r="F65" t="str">
        <v>ml</v>
      </c>
      <c r="G65" t="str">
        <v>Nao</v>
      </c>
      <c r="H65">
        <v>1375</v>
      </c>
      <c r="I65">
        <v>0</v>
      </c>
      <c r="J65" t="str">
        <v>Esqueceu de manter a garrafa por perto.</v>
      </c>
    </row>
    <row r="66">
      <c r="A66" s="2">
        <v>46240</v>
      </c>
      <c r="B66" t="str">
        <v>Alice</v>
      </c>
      <c r="C66" t="str">
        <v>Meta de estudo</v>
      </c>
      <c r="D66" t="str">
        <v>Estudo</v>
      </c>
      <c r="E66">
        <v>30</v>
      </c>
      <c r="F66" t="str">
        <v>min</v>
      </c>
      <c r="G66" t="str">
        <v>Sim</v>
      </c>
      <c r="H66">
        <v>30</v>
      </c>
      <c r="I66">
        <v>15</v>
      </c>
      <c r="J66" t="str">
        <v/>
      </c>
    </row>
    <row r="67">
      <c r="A67" s="2">
        <v>46240</v>
      </c>
      <c r="B67" t="str">
        <v>Alice</v>
      </c>
      <c r="C67" t="str">
        <v>Meta de remedios</v>
      </c>
      <c r="D67" t="str">
        <v>Saude</v>
      </c>
      <c r="E67">
        <v>1</v>
      </c>
      <c r="F67" t="str">
        <v>dose</v>
      </c>
      <c r="G67" t="str">
        <v>Sim</v>
      </c>
      <c r="H67">
        <v>1</v>
      </c>
      <c r="I67">
        <v>20</v>
      </c>
      <c r="J67" t="str">
        <v/>
      </c>
    </row>
    <row r="68">
      <c r="A68" s="2">
        <v>46240</v>
      </c>
      <c r="B68" t="str">
        <v>Alice</v>
      </c>
      <c r="C68" t="str">
        <v>Meta de sono</v>
      </c>
      <c r="D68" t="str">
        <v>Sono</v>
      </c>
      <c r="E68">
        <v>480</v>
      </c>
      <c r="F68" t="str">
        <v>min</v>
      </c>
      <c r="G68" t="str">
        <v>Sim</v>
      </c>
      <c r="H68">
        <v>480</v>
      </c>
      <c r="I68">
        <v>20</v>
      </c>
      <c r="J68" t="str">
        <v>Dor lombar atrapalhou o sono.</v>
      </c>
    </row>
    <row r="69">
      <c r="A69" s="2">
        <v>46240</v>
      </c>
      <c r="B69" t="str">
        <v>Diego</v>
      </c>
      <c r="C69" t="str">
        <v>Meta alimentar</v>
      </c>
      <c r="D69" t="str">
        <v>Alimentacao</v>
      </c>
      <c r="E69">
        <v>1</v>
      </c>
      <c r="F69" t="str">
        <v>plano</v>
      </c>
      <c r="G69" t="str">
        <v>Nao</v>
      </c>
      <c r="H69">
        <v>0</v>
      </c>
      <c r="I69">
        <v>0</v>
      </c>
      <c r="J69" t="str">
        <v>Refeicao fora do planejado.</v>
      </c>
    </row>
    <row r="70">
      <c r="A70" s="2">
        <v>46240</v>
      </c>
      <c r="B70" t="str">
        <v>Diego</v>
      </c>
      <c r="C70" t="str">
        <v>Meta de agua</v>
      </c>
      <c r="D70" t="str">
        <v>Hidratacao</v>
      </c>
      <c r="E70">
        <v>3000</v>
      </c>
      <c r="F70" t="str">
        <v>ml</v>
      </c>
      <c r="G70" t="str">
        <v>Sim</v>
      </c>
      <c r="H70">
        <v>3000</v>
      </c>
      <c r="I70">
        <v>20</v>
      </c>
      <c r="J70" t="str">
        <v/>
      </c>
    </row>
    <row r="71">
      <c r="A71" s="2">
        <v>46240</v>
      </c>
      <c r="B71" t="str">
        <v>Diego</v>
      </c>
      <c r="C71" t="str">
        <v>Meta de estudo</v>
      </c>
      <c r="D71" t="str">
        <v>Estudo</v>
      </c>
      <c r="E71">
        <v>30</v>
      </c>
      <c r="F71" t="str">
        <v>min</v>
      </c>
      <c r="G71" t="str">
        <v>Nao</v>
      </c>
      <c r="H71">
        <v>15</v>
      </c>
      <c r="I71">
        <v>0</v>
      </c>
      <c r="J71" t="str">
        <v>Sem tempo disponivel no dia.</v>
      </c>
    </row>
    <row r="72">
      <c r="A72" s="2">
        <v>46240</v>
      </c>
      <c r="B72" t="str">
        <v>Diego</v>
      </c>
      <c r="C72" t="str">
        <v>Meta de remedios</v>
      </c>
      <c r="D72" t="str">
        <v>Saude</v>
      </c>
      <c r="E72">
        <v>1</v>
      </c>
      <c r="F72" t="str">
        <v>dose</v>
      </c>
      <c r="G72" t="str">
        <v>Sim</v>
      </c>
      <c r="H72">
        <v>1</v>
      </c>
      <c r="I72">
        <v>25</v>
      </c>
      <c r="J72" t="str">
        <v/>
      </c>
    </row>
    <row r="73">
      <c r="A73" s="2">
        <v>46240</v>
      </c>
      <c r="B73" t="str">
        <v>Diego</v>
      </c>
      <c r="C73" t="str">
        <v>Meta de sono</v>
      </c>
      <c r="D73" t="str">
        <v>Sono</v>
      </c>
      <c r="E73">
        <v>480</v>
      </c>
      <c r="F73" t="str">
        <v>min</v>
      </c>
      <c r="G73" t="str">
        <v>Sim</v>
      </c>
      <c r="H73">
        <v>480</v>
      </c>
      <c r="I73">
        <v>20</v>
      </c>
      <c r="J73" t="str">
        <v>Dor lombar atrapalhou o sono.</v>
      </c>
    </row>
    <row r="74">
      <c r="A74" s="2">
        <v>46241</v>
      </c>
      <c r="B74" t="str">
        <v>Alice</v>
      </c>
      <c r="C74" t="str">
        <v>Meta alimentar</v>
      </c>
      <c r="D74" t="str">
        <v>Alimentacao</v>
      </c>
      <c r="E74">
        <v>1</v>
      </c>
      <c r="F74" t="str">
        <v>plano</v>
      </c>
      <c r="G74" t="str">
        <v>Sim</v>
      </c>
      <c r="H74">
        <v>1</v>
      </c>
      <c r="I74">
        <v>25</v>
      </c>
      <c r="J74" t="str">
        <v/>
      </c>
    </row>
    <row r="75">
      <c r="A75" s="2">
        <v>46241</v>
      </c>
      <c r="B75" t="str">
        <v>Alice</v>
      </c>
      <c r="C75" t="str">
        <v>Meta de agua</v>
      </c>
      <c r="D75" t="str">
        <v>Hidratacao</v>
      </c>
      <c r="E75">
        <v>2500</v>
      </c>
      <c r="F75" t="str">
        <v>ml</v>
      </c>
      <c r="G75" t="str">
        <v>Sim</v>
      </c>
      <c r="H75">
        <v>2500</v>
      </c>
      <c r="I75">
        <v>20</v>
      </c>
      <c r="J75" t="str">
        <v/>
      </c>
    </row>
    <row r="76">
      <c r="A76" s="2">
        <v>46241</v>
      </c>
      <c r="B76" t="str">
        <v>Alice</v>
      </c>
      <c r="C76" t="str">
        <v>Meta de estudo</v>
      </c>
      <c r="D76" t="str">
        <v>Estudo</v>
      </c>
      <c r="E76">
        <v>30</v>
      </c>
      <c r="F76" t="str">
        <v>min</v>
      </c>
      <c r="G76" t="str">
        <v>Nao</v>
      </c>
      <c r="H76">
        <v>15</v>
      </c>
      <c r="I76">
        <v>0</v>
      </c>
      <c r="J76" t="str">
        <v>Sem tempo disponivel no dia.</v>
      </c>
    </row>
    <row r="77">
      <c r="A77" s="2">
        <v>46241</v>
      </c>
      <c r="B77" t="str">
        <v>Alice</v>
      </c>
      <c r="C77" t="str">
        <v>Meta de remedios</v>
      </c>
      <c r="D77" t="str">
        <v>Saude</v>
      </c>
      <c r="E77">
        <v>1</v>
      </c>
      <c r="F77" t="str">
        <v>dose</v>
      </c>
      <c r="G77" t="str">
        <v>Sim</v>
      </c>
      <c r="H77">
        <v>1</v>
      </c>
      <c r="I77">
        <v>20</v>
      </c>
      <c r="J77" t="str">
        <v/>
      </c>
    </row>
    <row r="78">
      <c r="A78" s="2">
        <v>46241</v>
      </c>
      <c r="B78" t="str">
        <v>Alice</v>
      </c>
      <c r="C78" t="str">
        <v>Meta de sono</v>
      </c>
      <c r="D78" t="str">
        <v>Sono</v>
      </c>
      <c r="E78">
        <v>480</v>
      </c>
      <c r="F78" t="str">
        <v>min</v>
      </c>
      <c r="G78" t="str">
        <v>Nao</v>
      </c>
      <c r="H78">
        <v>240</v>
      </c>
      <c r="I78">
        <v>0</v>
      </c>
      <c r="J78" t="str">
        <v/>
      </c>
    </row>
    <row r="79">
      <c r="A79" s="2">
        <v>46241</v>
      </c>
      <c r="B79" t="str">
        <v>Diego</v>
      </c>
      <c r="C79" t="str">
        <v>Meta alimentar</v>
      </c>
      <c r="D79" t="str">
        <v>Alimentacao</v>
      </c>
      <c r="E79">
        <v>1</v>
      </c>
      <c r="F79" t="str">
        <v>plano</v>
      </c>
      <c r="G79" t="str">
        <v>Nao</v>
      </c>
      <c r="H79">
        <v>0</v>
      </c>
      <c r="I79">
        <v>0</v>
      </c>
      <c r="J79" t="str">
        <v>Refeicao fora do planejado.</v>
      </c>
    </row>
    <row r="80">
      <c r="A80" s="2">
        <v>46241</v>
      </c>
      <c r="B80" t="str">
        <v>Diego</v>
      </c>
      <c r="C80" t="str">
        <v>Meta de agua</v>
      </c>
      <c r="D80" t="str">
        <v>Hidratacao</v>
      </c>
      <c r="E80">
        <v>3000</v>
      </c>
      <c r="F80" t="str">
        <v>ml</v>
      </c>
      <c r="G80" t="str">
        <v>Sim</v>
      </c>
      <c r="H80">
        <v>3000</v>
      </c>
      <c r="I80">
        <v>20</v>
      </c>
      <c r="J80" t="str">
        <v/>
      </c>
    </row>
    <row r="81">
      <c r="A81" s="2">
        <v>46241</v>
      </c>
      <c r="B81" t="str">
        <v>Diego</v>
      </c>
      <c r="C81" t="str">
        <v>Meta de estudo</v>
      </c>
      <c r="D81" t="str">
        <v>Estudo</v>
      </c>
      <c r="E81">
        <v>30</v>
      </c>
      <c r="F81" t="str">
        <v>min</v>
      </c>
      <c r="G81" t="str">
        <v>Nao</v>
      </c>
      <c r="H81">
        <v>15</v>
      </c>
      <c r="I81">
        <v>0</v>
      </c>
      <c r="J81" t="str">
        <v>Sem tempo disponivel no dia.</v>
      </c>
    </row>
    <row r="82">
      <c r="A82" s="2">
        <v>46241</v>
      </c>
      <c r="B82" t="str">
        <v>Diego</v>
      </c>
      <c r="C82" t="str">
        <v>Meta de remedios</v>
      </c>
      <c r="D82" t="str">
        <v>Saude</v>
      </c>
      <c r="E82">
        <v>1</v>
      </c>
      <c r="F82" t="str">
        <v>dose</v>
      </c>
      <c r="G82" t="str">
        <v>Sim</v>
      </c>
      <c r="H82">
        <v>1</v>
      </c>
      <c r="I82">
        <v>25</v>
      </c>
      <c r="J82" t="str">
        <v/>
      </c>
    </row>
    <row r="83">
      <c r="A83" s="2">
        <v>46241</v>
      </c>
      <c r="B83" t="str">
        <v>Diego</v>
      </c>
      <c r="C83" t="str">
        <v>Meta de sono</v>
      </c>
      <c r="D83" t="str">
        <v>Sono</v>
      </c>
      <c r="E83">
        <v>480</v>
      </c>
      <c r="F83" t="str">
        <v>min</v>
      </c>
      <c r="G83" t="str">
        <v>Sim</v>
      </c>
      <c r="H83">
        <v>480</v>
      </c>
      <c r="I83">
        <v>20</v>
      </c>
      <c r="J83" t="str">
        <v>Dor lombar atrapalhou o sono.</v>
      </c>
    </row>
    <row r="84">
      <c r="A84" s="2">
        <v>46242</v>
      </c>
      <c r="B84" t="str">
        <v>Alice</v>
      </c>
      <c r="C84" t="str">
        <v>Meta alimentar</v>
      </c>
      <c r="D84" t="str">
        <v>Alimentacao</v>
      </c>
      <c r="E84">
        <v>1</v>
      </c>
      <c r="F84" t="str">
        <v>plano</v>
      </c>
      <c r="G84" t="str">
        <v>Nao</v>
      </c>
      <c r="H84">
        <v>0</v>
      </c>
      <c r="I84">
        <v>0</v>
      </c>
      <c r="J84" t="str">
        <v>Refeicao fora do planejado.</v>
      </c>
    </row>
    <row r="85">
      <c r="A85" s="2">
        <v>46242</v>
      </c>
      <c r="B85" t="str">
        <v>Alice</v>
      </c>
      <c r="C85" t="str">
        <v>Meta de agua</v>
      </c>
      <c r="D85" t="str">
        <v>Hidratacao</v>
      </c>
      <c r="E85">
        <v>2500</v>
      </c>
      <c r="F85" t="str">
        <v>ml</v>
      </c>
      <c r="G85" t="str">
        <v>Sim</v>
      </c>
      <c r="H85">
        <v>2500</v>
      </c>
      <c r="I85">
        <v>20</v>
      </c>
      <c r="J85" t="str">
        <v/>
      </c>
    </row>
    <row r="86">
      <c r="A86" s="2">
        <v>46242</v>
      </c>
      <c r="B86" t="str">
        <v>Alice</v>
      </c>
      <c r="C86" t="str">
        <v>Meta de estudo</v>
      </c>
      <c r="D86" t="str">
        <v>Estudo</v>
      </c>
      <c r="E86">
        <v>30</v>
      </c>
      <c r="F86" t="str">
        <v>min</v>
      </c>
      <c r="G86" t="str">
        <v>Sim</v>
      </c>
      <c r="H86">
        <v>30</v>
      </c>
      <c r="I86">
        <v>15</v>
      </c>
      <c r="J86" t="str">
        <v/>
      </c>
    </row>
    <row r="87">
      <c r="A87" s="2">
        <v>46242</v>
      </c>
      <c r="B87" t="str">
        <v>Alice</v>
      </c>
      <c r="C87" t="str">
        <v>Meta de remedios</v>
      </c>
      <c r="D87" t="str">
        <v>Saude</v>
      </c>
      <c r="E87">
        <v>1</v>
      </c>
      <c r="F87" t="str">
        <v>dose</v>
      </c>
      <c r="G87" t="str">
        <v>Sim</v>
      </c>
      <c r="H87">
        <v>1</v>
      </c>
      <c r="I87">
        <v>20</v>
      </c>
      <c r="J87" t="str">
        <v/>
      </c>
    </row>
    <row r="88">
      <c r="A88" s="2">
        <v>46242</v>
      </c>
      <c r="B88" t="str">
        <v>Alice</v>
      </c>
      <c r="C88" t="str">
        <v>Meta de sono</v>
      </c>
      <c r="D88" t="str">
        <v>Sono</v>
      </c>
      <c r="E88">
        <v>480</v>
      </c>
      <c r="F88" t="str">
        <v>min</v>
      </c>
      <c r="G88" t="str">
        <v>Sim</v>
      </c>
      <c r="H88">
        <v>480</v>
      </c>
      <c r="I88">
        <v>20</v>
      </c>
      <c r="J88" t="str">
        <v>Dor lombar atrapalhou o sono.</v>
      </c>
    </row>
    <row r="89">
      <c r="A89" s="2">
        <v>46242</v>
      </c>
      <c r="B89" t="str">
        <v>Diego</v>
      </c>
      <c r="C89" t="str">
        <v>Meta alimentar</v>
      </c>
      <c r="D89" t="str">
        <v>Alimentacao</v>
      </c>
      <c r="E89">
        <v>1</v>
      </c>
      <c r="F89" t="str">
        <v>plano</v>
      </c>
      <c r="G89" t="str">
        <v>Sim</v>
      </c>
      <c r="H89">
        <v>1</v>
      </c>
      <c r="I89">
        <v>20</v>
      </c>
      <c r="J89" t="str">
        <v/>
      </c>
    </row>
    <row r="90">
      <c r="A90" s="2">
        <v>46242</v>
      </c>
      <c r="B90" t="str">
        <v>Diego</v>
      </c>
      <c r="C90" t="str">
        <v>Meta de agua</v>
      </c>
      <c r="D90" t="str">
        <v>Hidratacao</v>
      </c>
      <c r="E90">
        <v>3000</v>
      </c>
      <c r="F90" t="str">
        <v>ml</v>
      </c>
      <c r="G90" t="str">
        <v>Sim</v>
      </c>
      <c r="H90">
        <v>3000</v>
      </c>
      <c r="I90">
        <v>20</v>
      </c>
      <c r="J90" t="str">
        <v/>
      </c>
    </row>
    <row r="91">
      <c r="A91" s="2">
        <v>46242</v>
      </c>
      <c r="B91" t="str">
        <v>Diego</v>
      </c>
      <c r="C91" t="str">
        <v>Meta de estudo</v>
      </c>
      <c r="D91" t="str">
        <v>Estudo</v>
      </c>
      <c r="E91">
        <v>30</v>
      </c>
      <c r="F91" t="str">
        <v>min</v>
      </c>
      <c r="G91" t="str">
        <v>Sim</v>
      </c>
      <c r="H91">
        <v>30</v>
      </c>
      <c r="I91">
        <v>15</v>
      </c>
      <c r="J91" t="str">
        <v/>
      </c>
    </row>
    <row r="92">
      <c r="A92" s="2">
        <v>46242</v>
      </c>
      <c r="B92" t="str">
        <v>Diego</v>
      </c>
      <c r="C92" t="str">
        <v>Meta de remedios</v>
      </c>
      <c r="D92" t="str">
        <v>Saude</v>
      </c>
      <c r="E92">
        <v>1</v>
      </c>
      <c r="F92" t="str">
        <v>dose</v>
      </c>
      <c r="G92" t="str">
        <v>Sim</v>
      </c>
      <c r="H92">
        <v>1</v>
      </c>
      <c r="I92">
        <v>25</v>
      </c>
      <c r="J92" t="str">
        <v/>
      </c>
    </row>
    <row r="93">
      <c r="A93" s="2">
        <v>46242</v>
      </c>
      <c r="B93" t="str">
        <v>Diego</v>
      </c>
      <c r="C93" t="str">
        <v>Meta de sono</v>
      </c>
      <c r="D93" t="str">
        <v>Sono</v>
      </c>
      <c r="E93">
        <v>480</v>
      </c>
      <c r="F93" t="str">
        <v>min</v>
      </c>
      <c r="G93" t="str">
        <v>Nao</v>
      </c>
      <c r="H93">
        <v>240</v>
      </c>
      <c r="I93">
        <v>0</v>
      </c>
      <c r="J93" t="str">
        <v/>
      </c>
    </row>
    <row r="94">
      <c r="A94" s="2">
        <v>46242.999675914354</v>
      </c>
      <c r="B94" t="str">
        <v>Alice</v>
      </c>
      <c r="C94" t="str">
        <v>Meta alimentar</v>
      </c>
      <c r="D94" t="str">
        <v>Alimentacao</v>
      </c>
      <c r="E94">
        <v>1</v>
      </c>
      <c r="F94" t="str">
        <v>plano</v>
      </c>
      <c r="G94" t="str">
        <v>Sim</v>
      </c>
      <c r="H94">
        <v>1</v>
      </c>
      <c r="I94">
        <v>25</v>
      </c>
      <c r="J94" t="str">
        <v/>
      </c>
    </row>
    <row r="95">
      <c r="A95" s="2">
        <v>46242.999675914354</v>
      </c>
      <c r="B95" t="str">
        <v>Alice</v>
      </c>
      <c r="C95" t="str">
        <v>Meta de agua</v>
      </c>
      <c r="D95" t="str">
        <v>Hidratacao</v>
      </c>
      <c r="E95">
        <v>2500</v>
      </c>
      <c r="F95" t="str">
        <v>ml</v>
      </c>
      <c r="G95" t="str">
        <v>Sim</v>
      </c>
      <c r="H95">
        <v>2500</v>
      </c>
      <c r="I95">
        <v>20</v>
      </c>
      <c r="J95" t="str">
        <v/>
      </c>
    </row>
    <row r="96">
      <c r="A96" s="2">
        <v>46242.999675914354</v>
      </c>
      <c r="B96" t="str">
        <v>Alice</v>
      </c>
      <c r="C96" t="str">
        <v>Meta de estudo</v>
      </c>
      <c r="D96" t="str">
        <v>Estudo</v>
      </c>
      <c r="E96">
        <v>30</v>
      </c>
      <c r="F96" t="str">
        <v>min</v>
      </c>
      <c r="G96" t="str">
        <v>Sim</v>
      </c>
      <c r="H96">
        <v>30</v>
      </c>
      <c r="I96">
        <v>15</v>
      </c>
      <c r="J96" t="str">
        <v/>
      </c>
    </row>
    <row r="97">
      <c r="A97" s="2">
        <v>46242.999675914354</v>
      </c>
      <c r="B97" t="str">
        <v>Alice</v>
      </c>
      <c r="C97" t="str">
        <v>Meta de remedios</v>
      </c>
      <c r="D97" t="str">
        <v>Saude</v>
      </c>
      <c r="E97">
        <v>1</v>
      </c>
      <c r="F97" t="str">
        <v>dose</v>
      </c>
      <c r="G97" t="str">
        <v>Sim</v>
      </c>
      <c r="H97">
        <v>1</v>
      </c>
      <c r="I97">
        <v>20</v>
      </c>
      <c r="J97" t="str">
        <v/>
      </c>
    </row>
    <row r="98">
      <c r="A98" s="2">
        <v>46242.999675914354</v>
      </c>
      <c r="B98" t="str">
        <v>Alice</v>
      </c>
      <c r="C98" t="str">
        <v>Meta de sono</v>
      </c>
      <c r="D98" t="str">
        <v>Sono</v>
      </c>
      <c r="E98">
        <v>480</v>
      </c>
      <c r="F98" t="str">
        <v>min</v>
      </c>
      <c r="G98" t="str">
        <v>Sim</v>
      </c>
      <c r="H98">
        <v>480</v>
      </c>
      <c r="I98">
        <v>20</v>
      </c>
      <c r="J98" t="str">
        <v/>
      </c>
    </row>
    <row r="99">
      <c r="A99" s="2">
        <v>46242.99967592592</v>
      </c>
      <c r="B99" t="str">
        <v>Alice</v>
      </c>
      <c r="C99" t="str">
        <v>Meta de agua</v>
      </c>
      <c r="D99" t="str">
        <v>Hidratacao</v>
      </c>
      <c r="E99">
        <v>2500</v>
      </c>
      <c r="F99" t="str">
        <v>ml</v>
      </c>
      <c r="G99" t="str">
        <v>Sim</v>
      </c>
      <c r="H99">
        <v>2500</v>
      </c>
      <c r="I99">
        <v>20</v>
      </c>
      <c r="J99" t="str">
        <v/>
      </c>
    </row>
    <row r="100">
      <c r="A100" s="2">
        <v>46243</v>
      </c>
      <c r="B100" t="str">
        <v>Alice</v>
      </c>
      <c r="C100" t="str">
        <v>Meta alimentar</v>
      </c>
      <c r="D100" t="str">
        <v>Alimentacao</v>
      </c>
      <c r="E100">
        <v>1</v>
      </c>
      <c r="F100" t="str">
        <v>plano</v>
      </c>
      <c r="G100" t="str">
        <v>Sim</v>
      </c>
      <c r="H100">
        <v>1</v>
      </c>
      <c r="I100">
        <v>25</v>
      </c>
      <c r="J100" t="str">
        <v/>
      </c>
    </row>
    <row r="101">
      <c r="A101" s="2">
        <v>46243</v>
      </c>
      <c r="B101" t="str">
        <v>Alice</v>
      </c>
      <c r="C101" t="str">
        <v>Meta de agua</v>
      </c>
      <c r="D101" t="str">
        <v>Hidratacao</v>
      </c>
      <c r="E101">
        <v>2500</v>
      </c>
      <c r="F101" t="str">
        <v>ml</v>
      </c>
      <c r="G101" t="str">
        <v>Sim</v>
      </c>
      <c r="H101">
        <v>2500</v>
      </c>
      <c r="I101">
        <v>20</v>
      </c>
      <c r="J101" t="str">
        <v/>
      </c>
    </row>
    <row r="102">
      <c r="A102" s="2">
        <v>46243</v>
      </c>
      <c r="B102" t="str">
        <v>Alice</v>
      </c>
      <c r="C102" t="str">
        <v>Meta de estudo</v>
      </c>
      <c r="D102" t="str">
        <v>Estudo</v>
      </c>
      <c r="E102">
        <v>30</v>
      </c>
      <c r="F102" t="str">
        <v>min</v>
      </c>
      <c r="G102" t="str">
        <v>Sim</v>
      </c>
      <c r="H102">
        <v>30</v>
      </c>
      <c r="I102">
        <v>15</v>
      </c>
      <c r="J102" t="str">
        <v/>
      </c>
    </row>
    <row r="103">
      <c r="A103" s="2">
        <v>46243</v>
      </c>
      <c r="B103" t="str">
        <v>Alice</v>
      </c>
      <c r="C103" t="str">
        <v>Meta de remedios</v>
      </c>
      <c r="D103" t="str">
        <v>Saude</v>
      </c>
      <c r="E103">
        <v>1</v>
      </c>
      <c r="F103" t="str">
        <v>dose</v>
      </c>
      <c r="G103" t="str">
        <v>Sim</v>
      </c>
      <c r="H103">
        <v>1</v>
      </c>
      <c r="I103">
        <v>20</v>
      </c>
      <c r="J103" t="str">
        <v/>
      </c>
    </row>
    <row r="104">
      <c r="A104" s="2">
        <v>46243</v>
      </c>
      <c r="B104" t="str">
        <v>Alice</v>
      </c>
      <c r="C104" t="str">
        <v>Meta de sono</v>
      </c>
      <c r="D104" t="str">
        <v>Sono</v>
      </c>
      <c r="E104">
        <v>480</v>
      </c>
      <c r="F104" t="str">
        <v>min</v>
      </c>
      <c r="G104" t="str">
        <v>Sim</v>
      </c>
      <c r="H104">
        <v>480</v>
      </c>
      <c r="I104">
        <v>20</v>
      </c>
      <c r="J104" t="str">
        <v>Dor lombar atrapalhou o sono.</v>
      </c>
    </row>
    <row r="105">
      <c r="A105" s="2">
        <v>46243</v>
      </c>
      <c r="B105" t="str">
        <v>Diego</v>
      </c>
      <c r="C105" t="str">
        <v>Meta alimentar</v>
      </c>
      <c r="D105" t="str">
        <v>Alimentacao</v>
      </c>
      <c r="E105">
        <v>1</v>
      </c>
      <c r="F105" t="str">
        <v>plano</v>
      </c>
      <c r="G105" t="str">
        <v>Nao</v>
      </c>
      <c r="H105">
        <v>0</v>
      </c>
      <c r="I105">
        <v>0</v>
      </c>
      <c r="J105" t="str">
        <v>Refeicao fora do planejado.</v>
      </c>
    </row>
    <row r="106">
      <c r="A106" s="2">
        <v>46243</v>
      </c>
      <c r="B106" t="str">
        <v>Diego</v>
      </c>
      <c r="C106" t="str">
        <v>Meta de agua</v>
      </c>
      <c r="D106" t="str">
        <v>Hidratacao</v>
      </c>
      <c r="E106">
        <v>3000</v>
      </c>
      <c r="F106" t="str">
        <v>ml</v>
      </c>
      <c r="G106" t="str">
        <v>Sim</v>
      </c>
      <c r="H106">
        <v>3000</v>
      </c>
      <c r="I106">
        <v>20</v>
      </c>
      <c r="J106" t="str">
        <v/>
      </c>
    </row>
    <row r="107">
      <c r="A107" s="2">
        <v>46243</v>
      </c>
      <c r="B107" t="str">
        <v>Diego</v>
      </c>
      <c r="C107" t="str">
        <v>Meta de estudo</v>
      </c>
      <c r="D107" t="str">
        <v>Estudo</v>
      </c>
      <c r="E107">
        <v>30</v>
      </c>
      <c r="F107" t="str">
        <v>min</v>
      </c>
      <c r="G107" t="str">
        <v>Nao</v>
      </c>
      <c r="H107">
        <v>15</v>
      </c>
      <c r="I107">
        <v>0</v>
      </c>
      <c r="J107" t="str">
        <v>Sem tempo disponivel no dia.</v>
      </c>
    </row>
    <row r="108">
      <c r="A108" s="2">
        <v>46243</v>
      </c>
      <c r="B108" t="str">
        <v>Diego</v>
      </c>
      <c r="C108" t="str">
        <v>Meta de remedios</v>
      </c>
      <c r="D108" t="str">
        <v>Saude</v>
      </c>
      <c r="E108">
        <v>1</v>
      </c>
      <c r="F108" t="str">
        <v>dose</v>
      </c>
      <c r="G108" t="str">
        <v>Sim</v>
      </c>
      <c r="H108">
        <v>1</v>
      </c>
      <c r="I108">
        <v>25</v>
      </c>
      <c r="J108" t="str">
        <v/>
      </c>
    </row>
    <row r="109">
      <c r="A109" s="2">
        <v>46243</v>
      </c>
      <c r="B109" t="str">
        <v>Diego</v>
      </c>
      <c r="C109" t="str">
        <v>Meta de sono</v>
      </c>
      <c r="D109" t="str">
        <v>Sono</v>
      </c>
      <c r="E109">
        <v>480</v>
      </c>
      <c r="F109" t="str">
        <v>min</v>
      </c>
      <c r="G109" t="str">
        <v>Sim</v>
      </c>
      <c r="H109">
        <v>480</v>
      </c>
      <c r="I109">
        <v>20</v>
      </c>
      <c r="J109" t="str">
        <v>Dor lombar atrapalhou o sono.</v>
      </c>
    </row>
  </sheetData>
  <ignoredErrors>
    <ignoredError numberStoredAsText="1" sqref="A1:J10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7"/>
  <sheetViews>
    <sheetView workbookViewId="0" rightToLeft="0"/>
  </sheetViews>
  <sheetData>
    <row r="1">
      <c r="A1" t="str">
        <v>DASHBOARD DADOS</v>
      </c>
    </row>
    <row r="2">
      <c r="A2" t="str">
        <v>Resumo automatico da base Atividades. Pode ser usado como conferencia do HTML.</v>
      </c>
    </row>
    <row r="4">
      <c r="A4" t="str">
        <v>Filtro Pessoa</v>
      </c>
      <c r="B4" t="str">
        <v>Todos</v>
      </c>
    </row>
    <row r="5">
      <c r="A5" t="str">
        <v>Filtro Ano</v>
      </c>
      <c r="B5" t="str">
        <v>Todos</v>
      </c>
    </row>
    <row r="8">
      <c r="A8" t="str">
        <v>Indicador</v>
      </c>
      <c r="B8" t="str">
        <v>Valor</v>
      </c>
    </row>
    <row r="9">
      <c r="A9" t="str">
        <v>Dias ativos</v>
      </c>
      <c r="B9">
        <f>COUNTIFS(Atividades!$J:$J,"Sim")</f>
        <v>66</v>
      </c>
    </row>
    <row r="10">
      <c r="A10" t="str">
        <v>Minutos realizados</v>
      </c>
      <c r="B10">
        <f>SUMIFS(Atividades!$H:$H,Atividades!$J:$J,"Sim")</f>
        <v>2246</v>
      </c>
    </row>
    <row r="11">
      <c r="A11" t="str">
        <v>Calorias</v>
      </c>
      <c r="B11">
        <f>SUMIFS(Atividades!$K:$K,Atividades!$J:$J,"Sim")</f>
        <v>12320</v>
      </c>
    </row>
    <row r="12">
      <c r="A12" t="str">
        <v>Dor media</v>
      </c>
      <c r="B12">
        <f>IFERROR(AVERAGEIFS(Atividades!$L:$L,Atividades!$J:$J,"Sim"),0)</f>
        <v>1.121212121212121</v>
      </c>
    </row>
    <row r="15">
      <c r="A15" t="str">
        <v>Mes</v>
      </c>
      <c r="B15" t="str">
        <v>Minutos</v>
      </c>
      <c r="C15" t="str">
        <v>Dor media</v>
      </c>
    </row>
    <row r="16">
      <c r="A16" t="str">
        <v>Jan</v>
      </c>
      <c r="B16">
        <f>SUMIFS(Atividades!$H:$H,Atividades!$J:$J,"Sim",Atividades!$E:$E,1)</f>
        <v>0</v>
      </c>
      <c r="C16">
        <f>IFERROR(AVERAGEIFS(Atividades!$L:$L,Atividades!$J:$J,"Sim",Atividades!$E:$E,1),0)</f>
        <v>0</v>
      </c>
    </row>
    <row r="17">
      <c r="A17" t="str">
        <v>Fev</v>
      </c>
      <c r="B17">
        <f>SUMIFS(Atividades!$H:$H,Atividades!$J:$J,"Sim",Atividades!$E:$E,2)</f>
        <v>0</v>
      </c>
      <c r="C17">
        <f>IFERROR(AVERAGEIFS(Atividades!$L:$L,Atividades!$J:$J,"Sim",Atividades!$E:$E,2),0)</f>
        <v>0</v>
      </c>
    </row>
    <row r="18">
      <c r="A18" t="str">
        <v>Mar</v>
      </c>
      <c r="B18">
        <f>SUMIFS(Atividades!$H:$H,Atividades!$J:$J,"Sim",Atividades!$E:$E,3)</f>
        <v>0</v>
      </c>
      <c r="C18">
        <f>IFERROR(AVERAGEIFS(Atividades!$L:$L,Atividades!$J:$J,"Sim",Atividades!$E:$E,3),0)</f>
        <v>0</v>
      </c>
    </row>
    <row r="19">
      <c r="A19" t="str">
        <v>Abr</v>
      </c>
      <c r="B19">
        <f>SUMIFS(Atividades!$H:$H,Atividades!$J:$J,"Sim",Atividades!$E:$E,4)</f>
        <v>0</v>
      </c>
      <c r="C19">
        <f>IFERROR(AVERAGEIFS(Atividades!$L:$L,Atividades!$J:$J,"Sim",Atividades!$E:$E,4),0)</f>
        <v>0</v>
      </c>
    </row>
    <row r="20">
      <c r="A20" t="str">
        <v>Mai</v>
      </c>
      <c r="B20">
        <f>SUMIFS(Atividades!$H:$H,Atividades!$J:$J,"Sim",Atividades!$E:$E,5)</f>
        <v>0</v>
      </c>
      <c r="C20">
        <f>IFERROR(AVERAGEIFS(Atividades!$L:$L,Atividades!$J:$J,"Sim",Atividades!$E:$E,5),0)</f>
        <v>0</v>
      </c>
    </row>
    <row r="21">
      <c r="A21" t="str">
        <v>Jun</v>
      </c>
      <c r="B21">
        <f>SUMIFS(Atividades!$H:$H,Atividades!$J:$J,"Sim",Atividades!$E:$E,6)</f>
        <v>903</v>
      </c>
      <c r="C21">
        <f>IFERROR(AVERAGEIFS(Atividades!$L:$L,Atividades!$J:$J,"Sim",Atividades!$E:$E,6),0)</f>
        <v>0.6153846153846154</v>
      </c>
    </row>
    <row r="22">
      <c r="A22" t="str">
        <v>Jul</v>
      </c>
      <c r="B22">
        <f>SUMIFS(Atividades!$H:$H,Atividades!$J:$J,"Sim",Atividades!$E:$E,7)</f>
        <v>1059</v>
      </c>
      <c r="C22">
        <f>IFERROR(AVERAGEIFS(Atividades!$L:$L,Atividades!$J:$J,"Sim",Atividades!$E:$E,7),0)</f>
        <v>0.8148148148148148</v>
      </c>
    </row>
    <row r="23">
      <c r="A23" t="str">
        <v>Ago</v>
      </c>
      <c r="B23">
        <f>SUMIFS(Atividades!$H:$H,Atividades!$J:$J,"Sim",Atividades!$E:$E,8)</f>
        <v>284</v>
      </c>
      <c r="C23">
        <f>IFERROR(AVERAGEIFS(Atividades!$L:$L,Atividades!$J:$J,"Sim",Atividades!$E:$E,8),0)</f>
        <v>2.769230769230769</v>
      </c>
    </row>
    <row r="24">
      <c r="A24" t="str">
        <v>Set</v>
      </c>
      <c r="B24">
        <f>SUMIFS(Atividades!$H:$H,Atividades!$J:$J,"Sim",Atividades!$E:$E,9)</f>
        <v>0</v>
      </c>
      <c r="C24">
        <f>IFERROR(AVERAGEIFS(Atividades!$L:$L,Atividades!$J:$J,"Sim",Atividades!$E:$E,9),0)</f>
        <v>0</v>
      </c>
    </row>
    <row r="25">
      <c r="A25" t="str">
        <v>Out</v>
      </c>
      <c r="B25">
        <f>SUMIFS(Atividades!$H:$H,Atividades!$J:$J,"Sim",Atividades!$E:$E,10)</f>
        <v>0</v>
      </c>
      <c r="C25">
        <f>IFERROR(AVERAGEIFS(Atividades!$L:$L,Atividades!$J:$J,"Sim",Atividades!$E:$E,10),0)</f>
        <v>0</v>
      </c>
    </row>
    <row r="26">
      <c r="A26" t="str">
        <v>Nov</v>
      </c>
      <c r="B26">
        <f>SUMIFS(Atividades!$H:$H,Atividades!$J:$J,"Sim",Atividades!$E:$E,11)</f>
        <v>0</v>
      </c>
      <c r="C26">
        <f>IFERROR(AVERAGEIFS(Atividades!$L:$L,Atividades!$J:$J,"Sim",Atividades!$E:$E,11),0)</f>
        <v>0</v>
      </c>
    </row>
    <row r="27">
      <c r="A27" t="str">
        <v>Dez</v>
      </c>
      <c r="B27">
        <f>SUMIFS(Atividades!$H:$H,Atividades!$J:$J,"Sim",Atividades!$E:$E,12)</f>
        <v>0</v>
      </c>
      <c r="C27">
        <f>IFERROR(AVERAGEIFS(Atividades!$L:$L,Atividades!$J:$J,"Sim",Atividades!$E:$E,12),0)</f>
        <v>0</v>
      </c>
    </row>
  </sheetData>
  <mergeCells count="2">
    <mergeCell ref="A2:H2"/>
    <mergeCell ref="A1:H1"/>
  </mergeCells>
  <pageMargins left="0.75" right="0.75" top="1" bottom="1" header="0.5" footer="0.5"/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INICIO</vt:lpstr>
      <vt:lpstr>Listas</vt:lpstr>
      <vt:lpstr>Pessoas</vt:lpstr>
      <vt:lpstr>Atividades</vt:lpstr>
      <vt:lpstr>Plano_Semanal</vt:lpstr>
      <vt:lpstr>Metas</vt:lpstr>
      <vt:lpstr>Bioimpedancia</vt:lpstr>
      <vt:lpstr>Sintomas_Lombar</vt:lpstr>
      <vt:lpstr>Exames</vt:lpstr>
      <vt:lpstr>Habitos</vt:lpstr>
      <vt:lpstr>Habitos_Registro</vt:lpstr>
      <vt:lpstr>Dashboard_Dados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2026-08-09T22:00:15Z</dcterms:created>
  <dcterms:modified xsi:type="dcterms:W3CDTF">2026-08-09T22:01:05Z</dcterms:modified>
  <dc:creator>Diego Luís</dc:creator>
</cp:coreProperties>
</file>